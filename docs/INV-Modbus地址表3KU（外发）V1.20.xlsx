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Downloads\Invertor-BMS\"/>
    </mc:Choice>
  </mc:AlternateContent>
  <bookViews>
    <workbookView xWindow="0" yWindow="0" windowWidth="15345" windowHeight="4755" tabRatio="849" firstSheet="1" activeTab="2"/>
  </bookViews>
  <sheets>
    <sheet name=" Version information" sheetId="20" r:id="rId1"/>
    <sheet name=" Communication format" sheetId="19" r:id="rId2"/>
    <sheet name=" WF_Version" sheetId="22" r:id="rId3"/>
    <sheet name=" WF_Simplify" sheetId="35" r:id="rId4"/>
    <sheet name=" WF_WorkMode" sheetId="25" r:id="rId5"/>
    <sheet name=" WF_BAT" sheetId="27" r:id="rId6"/>
    <sheet name=" WF_BMS" sheetId="33" r:id="rId7"/>
    <sheet name=" WF_LINE" sheetId="26" r:id="rId8"/>
    <sheet name=" WF_OP" sheetId="29" r:id="rId9"/>
    <sheet name=" WF_PV" sheetId="31" r:id="rId10"/>
    <sheet name=" WF_INV" sheetId="28" r:id="rId11"/>
    <sheet name=" WF_FAN" sheetId="30" r:id="rId12"/>
    <sheet name=" WF_NTC" sheetId="39" r:id="rId13"/>
    <sheet name=" WF_FunctionSwitch" sheetId="41" r:id="rId14"/>
    <sheet name=" WF_Time" sheetId="40" r:id="rId15"/>
    <sheet name=" WF_PARA" sheetId="34" r:id="rId16"/>
    <sheet name=" WF_Admin" sheetId="23" r:id="rId17"/>
    <sheet name=" WF_FCT" sheetId="16" r:id="rId18"/>
    <sheet name=" WF_Calibration" sheetId="42" r:id="rId19"/>
    <sheet name=" WF_Generator" sheetId="43" r:id="rId20"/>
    <sheet name=" WF_OTA" sheetId="45" r:id="rId21"/>
    <sheet name=" WF_UserSet" sheetId="44" r:id="rId2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44" l="1"/>
  <c r="B68" i="44"/>
  <c r="B67" i="44"/>
  <c r="C66" i="44"/>
  <c r="B66" i="44"/>
  <c r="C65" i="44"/>
  <c r="B65" i="44"/>
  <c r="C64" i="44"/>
  <c r="B64" i="44"/>
  <c r="C63" i="44"/>
  <c r="B63" i="44"/>
  <c r="C62" i="44"/>
  <c r="B62" i="44"/>
  <c r="C61" i="44"/>
  <c r="B61" i="44"/>
  <c r="C60" i="44"/>
  <c r="B60" i="44"/>
  <c r="C59" i="44"/>
  <c r="B59" i="44"/>
  <c r="C58" i="44"/>
  <c r="B58" i="44"/>
  <c r="C57" i="44"/>
  <c r="B57" i="44"/>
  <c r="C56" i="44"/>
  <c r="B56" i="44"/>
  <c r="C55" i="44"/>
  <c r="B55" i="44"/>
  <c r="C54" i="44"/>
  <c r="B54" i="44"/>
  <c r="C53" i="44"/>
  <c r="B53" i="44"/>
  <c r="C52" i="44"/>
  <c r="B52" i="44"/>
  <c r="C51" i="44"/>
  <c r="B51" i="44"/>
  <c r="C50" i="44"/>
  <c r="B50" i="44"/>
  <c r="C49" i="44"/>
  <c r="B49" i="44"/>
  <c r="C48" i="44"/>
  <c r="B48" i="44"/>
  <c r="C47" i="44"/>
  <c r="B47" i="44"/>
  <c r="C46" i="44"/>
  <c r="B46" i="44"/>
  <c r="C45" i="44"/>
  <c r="B45" i="44"/>
  <c r="C44" i="44"/>
  <c r="B44" i="44"/>
  <c r="C43" i="44"/>
  <c r="B43" i="44"/>
  <c r="C42" i="44"/>
  <c r="B42" i="44"/>
  <c r="C41" i="44"/>
  <c r="B41" i="44"/>
  <c r="C40" i="44"/>
  <c r="B40" i="44"/>
  <c r="C39" i="44"/>
  <c r="B39" i="44"/>
  <c r="C38" i="44"/>
  <c r="B38" i="44"/>
  <c r="C37" i="44"/>
  <c r="B37" i="44"/>
  <c r="C36" i="44"/>
  <c r="B36" i="44"/>
  <c r="C35" i="44"/>
  <c r="B35" i="44"/>
  <c r="C34" i="44"/>
  <c r="B34" i="44"/>
  <c r="C33" i="44"/>
  <c r="B33" i="44"/>
  <c r="C32" i="44"/>
  <c r="B32" i="44"/>
  <c r="C31" i="44"/>
  <c r="B31" i="44"/>
  <c r="C30" i="44"/>
  <c r="B30" i="44"/>
  <c r="C29" i="44"/>
  <c r="B29" i="44"/>
  <c r="C28" i="44"/>
  <c r="B28" i="44"/>
  <c r="C27" i="44"/>
  <c r="B27" i="44"/>
  <c r="C26" i="44"/>
  <c r="B26" i="44"/>
  <c r="C25" i="44"/>
  <c r="B25" i="44"/>
  <c r="C24" i="44"/>
  <c r="B24" i="44"/>
  <c r="C23" i="44"/>
  <c r="B23" i="44"/>
  <c r="C22" i="44"/>
  <c r="B22" i="44"/>
  <c r="C21" i="44"/>
  <c r="B21" i="44"/>
  <c r="C20" i="44"/>
  <c r="B20" i="44"/>
  <c r="C19" i="44"/>
  <c r="B19" i="44"/>
  <c r="C18" i="44"/>
  <c r="B18" i="44"/>
  <c r="C17" i="44"/>
  <c r="B17" i="44"/>
  <c r="C16" i="44"/>
  <c r="B16" i="44"/>
  <c r="C15" i="44"/>
  <c r="B15" i="44"/>
  <c r="C14" i="44"/>
  <c r="B14" i="44"/>
  <c r="C13" i="44"/>
  <c r="B13" i="44"/>
  <c r="C12" i="44"/>
  <c r="B12" i="44"/>
  <c r="C11" i="44"/>
  <c r="B11" i="44"/>
  <c r="C10" i="44"/>
  <c r="B10" i="44"/>
  <c r="C9" i="44"/>
  <c r="B9" i="44"/>
  <c r="C8" i="44"/>
  <c r="B8" i="44"/>
  <c r="C7" i="44"/>
  <c r="B7" i="44"/>
  <c r="C6" i="44"/>
  <c r="B6" i="44"/>
  <c r="C5" i="44"/>
  <c r="B5" i="44"/>
  <c r="C4" i="44"/>
  <c r="B4" i="44"/>
  <c r="C3" i="44"/>
  <c r="B3" i="44"/>
  <c r="B2" i="44"/>
  <c r="C220" i="45"/>
  <c r="B220" i="45"/>
  <c r="C219" i="45"/>
  <c r="B219" i="45"/>
  <c r="C218" i="45"/>
  <c r="B218" i="45"/>
  <c r="C217" i="45"/>
  <c r="B217" i="45"/>
  <c r="C216" i="45"/>
  <c r="B216" i="45"/>
  <c r="C215" i="45"/>
  <c r="B215" i="45"/>
  <c r="C214" i="45"/>
  <c r="B214" i="45"/>
  <c r="C213" i="45"/>
  <c r="B213" i="45"/>
  <c r="C212" i="45"/>
  <c r="B212" i="45"/>
  <c r="C211" i="45"/>
  <c r="B211" i="45"/>
  <c r="C210" i="45"/>
  <c r="B210" i="45"/>
  <c r="C209" i="45"/>
  <c r="B209" i="45"/>
  <c r="C208" i="45"/>
  <c r="B208" i="45"/>
  <c r="C207" i="45"/>
  <c r="B207" i="45"/>
  <c r="C206" i="45"/>
  <c r="B206" i="45"/>
  <c r="C205" i="45"/>
  <c r="B205" i="45"/>
  <c r="C204" i="45"/>
  <c r="B204" i="45"/>
  <c r="C203" i="45"/>
  <c r="B203" i="45"/>
  <c r="C202" i="45"/>
  <c r="B202" i="45"/>
  <c r="C201" i="45"/>
  <c r="B201" i="45"/>
  <c r="C200" i="45"/>
  <c r="B200" i="45"/>
  <c r="C199" i="45"/>
  <c r="B199" i="45"/>
  <c r="C198" i="45"/>
  <c r="B198" i="45"/>
  <c r="C197" i="45"/>
  <c r="B197" i="45"/>
  <c r="C196" i="45"/>
  <c r="B196" i="45"/>
  <c r="C195" i="45"/>
  <c r="B195" i="45"/>
  <c r="C194" i="45"/>
  <c r="B194" i="45"/>
  <c r="C193" i="45"/>
  <c r="B193" i="45"/>
  <c r="C192" i="45"/>
  <c r="B192" i="45"/>
  <c r="C191" i="45"/>
  <c r="B191" i="45"/>
  <c r="C190" i="45"/>
  <c r="B190" i="45"/>
  <c r="C189" i="45"/>
  <c r="B189" i="45"/>
  <c r="C188" i="45"/>
  <c r="B188" i="45"/>
  <c r="C187" i="45"/>
  <c r="B187" i="45"/>
  <c r="C186" i="45"/>
  <c r="B186" i="45"/>
  <c r="C185" i="45"/>
  <c r="B185" i="45"/>
  <c r="C184" i="45"/>
  <c r="B184" i="45"/>
  <c r="C183" i="45"/>
  <c r="B183" i="45"/>
  <c r="C182" i="45"/>
  <c r="B182" i="45"/>
  <c r="C181" i="45"/>
  <c r="B181" i="45"/>
  <c r="C180" i="45"/>
  <c r="B180" i="45"/>
  <c r="C179" i="45"/>
  <c r="B179" i="45"/>
  <c r="C178" i="45"/>
  <c r="B178" i="45"/>
  <c r="C177" i="45"/>
  <c r="B177" i="45"/>
  <c r="C176" i="45"/>
  <c r="B176" i="45"/>
  <c r="C175" i="45"/>
  <c r="B175" i="45"/>
  <c r="C174" i="45"/>
  <c r="B174" i="45"/>
  <c r="C173" i="45"/>
  <c r="B173" i="45"/>
  <c r="C172" i="45"/>
  <c r="B172" i="45"/>
  <c r="C171" i="45"/>
  <c r="B171" i="45"/>
  <c r="C170" i="45"/>
  <c r="B170" i="45"/>
  <c r="C169" i="45"/>
  <c r="B169" i="45"/>
  <c r="C168" i="45"/>
  <c r="B168" i="45"/>
  <c r="C167" i="45"/>
  <c r="B167" i="45"/>
  <c r="C166" i="45"/>
  <c r="B166" i="45"/>
  <c r="C165" i="45"/>
  <c r="B165" i="45"/>
  <c r="C164" i="45"/>
  <c r="B164" i="45"/>
  <c r="C163" i="45"/>
  <c r="B163" i="45"/>
  <c r="C162" i="45"/>
  <c r="B162" i="45"/>
  <c r="C161" i="45"/>
  <c r="B161" i="45"/>
  <c r="C160" i="45"/>
  <c r="B160" i="45"/>
  <c r="C159" i="45"/>
  <c r="B159" i="45"/>
  <c r="C158" i="45"/>
  <c r="B158" i="45"/>
  <c r="C157" i="45"/>
  <c r="B157" i="45"/>
  <c r="C156" i="45"/>
  <c r="B156" i="45"/>
  <c r="C155" i="45"/>
  <c r="B155" i="45"/>
  <c r="C154" i="45"/>
  <c r="B154" i="45"/>
  <c r="C153" i="45"/>
  <c r="B153" i="45"/>
  <c r="C152" i="45"/>
  <c r="B152" i="45"/>
  <c r="C151" i="45"/>
  <c r="B151" i="45"/>
  <c r="C150" i="45"/>
  <c r="B150" i="45"/>
  <c r="C149" i="45"/>
  <c r="B149" i="45"/>
  <c r="C148" i="45"/>
  <c r="B148" i="45"/>
  <c r="C147" i="45"/>
  <c r="B147" i="45"/>
  <c r="C146" i="45"/>
  <c r="B146" i="45"/>
  <c r="C145" i="45"/>
  <c r="B145" i="45"/>
  <c r="C144" i="45"/>
  <c r="B144" i="45"/>
  <c r="C143" i="45"/>
  <c r="B143" i="45"/>
  <c r="C142" i="45"/>
  <c r="B142" i="45"/>
  <c r="C141" i="45"/>
  <c r="B141" i="45"/>
  <c r="C140" i="45"/>
  <c r="B140" i="45"/>
  <c r="C139" i="45"/>
  <c r="B139" i="45"/>
  <c r="C138" i="45"/>
  <c r="B138" i="45"/>
  <c r="C137" i="45"/>
  <c r="B137" i="45"/>
  <c r="C136" i="45"/>
  <c r="B136" i="45"/>
  <c r="C135" i="45"/>
  <c r="B135" i="45"/>
  <c r="C134" i="45"/>
  <c r="B134" i="45"/>
  <c r="C133" i="45"/>
  <c r="B133" i="45"/>
  <c r="C132" i="45"/>
  <c r="B132" i="45"/>
  <c r="C131" i="45"/>
  <c r="B131" i="45"/>
  <c r="C130" i="45"/>
  <c r="B130" i="45"/>
  <c r="C129" i="45"/>
  <c r="B129" i="45"/>
  <c r="C128" i="45"/>
  <c r="B128" i="45"/>
  <c r="C127" i="45"/>
  <c r="B127" i="45"/>
  <c r="C126" i="45"/>
  <c r="B126" i="45"/>
  <c r="C125" i="45"/>
  <c r="B125" i="45"/>
  <c r="C124" i="45"/>
  <c r="B124" i="45"/>
  <c r="C123" i="45"/>
  <c r="B123" i="45"/>
  <c r="C122" i="45"/>
  <c r="B122" i="45"/>
  <c r="C121" i="45"/>
  <c r="B121" i="45"/>
  <c r="C120" i="45"/>
  <c r="B120" i="45"/>
  <c r="C119" i="45"/>
  <c r="B119" i="45"/>
  <c r="C118" i="45"/>
  <c r="B118" i="45"/>
  <c r="C117" i="45"/>
  <c r="B117" i="45"/>
  <c r="C116" i="45"/>
  <c r="B116" i="45"/>
  <c r="C115" i="45"/>
  <c r="B115" i="45"/>
  <c r="C114" i="45"/>
  <c r="B114" i="45"/>
  <c r="C113" i="45"/>
  <c r="B113" i="45"/>
  <c r="C112" i="45"/>
  <c r="B112" i="45"/>
  <c r="C111" i="45"/>
  <c r="B111" i="45"/>
  <c r="C110" i="45"/>
  <c r="B110" i="45"/>
  <c r="C109" i="45"/>
  <c r="B109" i="45"/>
  <c r="C108" i="45"/>
  <c r="B108" i="45"/>
  <c r="C107" i="45"/>
  <c r="B107" i="45"/>
  <c r="C106" i="45"/>
  <c r="B106" i="45"/>
  <c r="C105" i="45"/>
  <c r="B105" i="45"/>
  <c r="C104" i="45"/>
  <c r="B104" i="45"/>
  <c r="C103" i="45"/>
  <c r="B103" i="45"/>
  <c r="C102" i="45"/>
  <c r="B102" i="45"/>
  <c r="C101" i="45"/>
  <c r="B101" i="45"/>
  <c r="C100" i="45"/>
  <c r="B100" i="45"/>
  <c r="C99" i="45"/>
  <c r="B99" i="45"/>
  <c r="C98" i="45"/>
  <c r="B98" i="45"/>
  <c r="C97" i="45"/>
  <c r="B97" i="45"/>
  <c r="C96" i="45"/>
  <c r="B96" i="45"/>
  <c r="C95" i="45"/>
  <c r="B95" i="45"/>
  <c r="C94" i="45"/>
  <c r="B94" i="45"/>
  <c r="C93" i="45"/>
  <c r="B93" i="45"/>
  <c r="C92" i="45"/>
  <c r="B92" i="45"/>
  <c r="C91" i="45"/>
  <c r="B91" i="45"/>
  <c r="C90" i="45"/>
  <c r="B90" i="45"/>
  <c r="C89" i="45"/>
  <c r="B89" i="45"/>
  <c r="C88" i="45"/>
  <c r="B88" i="45"/>
  <c r="C87" i="45"/>
  <c r="B87" i="45"/>
  <c r="C86" i="45"/>
  <c r="B86" i="45"/>
  <c r="C85" i="45"/>
  <c r="B85" i="45"/>
  <c r="C84" i="45"/>
  <c r="B84" i="45"/>
  <c r="C83" i="45"/>
  <c r="B83" i="45"/>
  <c r="C82" i="45"/>
  <c r="B82" i="45"/>
  <c r="C81" i="45"/>
  <c r="B81" i="45"/>
  <c r="C80" i="45"/>
  <c r="B80" i="45"/>
  <c r="C79" i="45"/>
  <c r="B79" i="45"/>
  <c r="C78" i="45"/>
  <c r="B78" i="45"/>
  <c r="C77" i="45"/>
  <c r="B77" i="45"/>
  <c r="C76" i="45"/>
  <c r="B76" i="45"/>
  <c r="C75" i="45"/>
  <c r="B75" i="45"/>
  <c r="C74" i="45"/>
  <c r="B74" i="45"/>
  <c r="C73" i="45"/>
  <c r="B73" i="45"/>
  <c r="C72" i="45"/>
  <c r="B72" i="45"/>
  <c r="C71" i="45"/>
  <c r="B71" i="45"/>
  <c r="C70" i="45"/>
  <c r="B70" i="45"/>
  <c r="C69" i="45"/>
  <c r="B69" i="45"/>
  <c r="C68" i="45"/>
  <c r="B68" i="45"/>
  <c r="C67" i="45"/>
  <c r="B67" i="45"/>
  <c r="C66" i="45"/>
  <c r="B66" i="45"/>
  <c r="C65" i="45"/>
  <c r="B65" i="45"/>
  <c r="C64" i="45"/>
  <c r="B64" i="45"/>
  <c r="C63" i="45"/>
  <c r="B63" i="45"/>
  <c r="C62" i="45"/>
  <c r="B62" i="45"/>
  <c r="C61" i="45"/>
  <c r="B61" i="45"/>
  <c r="C60" i="45"/>
  <c r="B60" i="45"/>
  <c r="C59" i="45"/>
  <c r="B59" i="45"/>
  <c r="C58" i="45"/>
  <c r="B58" i="45"/>
  <c r="C57" i="45"/>
  <c r="B57" i="45"/>
  <c r="C56" i="45"/>
  <c r="B56" i="45"/>
  <c r="C55" i="45"/>
  <c r="B55" i="45"/>
  <c r="C54" i="45"/>
  <c r="B54" i="45"/>
  <c r="C53" i="45"/>
  <c r="B53" i="45"/>
  <c r="C52" i="45"/>
  <c r="B52" i="45"/>
  <c r="C51" i="45"/>
  <c r="B51" i="45"/>
  <c r="C50" i="45"/>
  <c r="B50" i="45"/>
  <c r="C49" i="45"/>
  <c r="B49" i="45"/>
  <c r="C48" i="45"/>
  <c r="B48" i="45"/>
  <c r="C47" i="45"/>
  <c r="B47" i="45"/>
  <c r="C46" i="45"/>
  <c r="B46" i="45"/>
  <c r="C45" i="45"/>
  <c r="B45" i="45"/>
  <c r="C44" i="45"/>
  <c r="B44" i="45"/>
  <c r="C43" i="45"/>
  <c r="B43" i="45"/>
  <c r="C42" i="45"/>
  <c r="B42" i="45"/>
  <c r="C41" i="45"/>
  <c r="B41" i="45"/>
  <c r="C40" i="45"/>
  <c r="B40" i="45"/>
  <c r="C39" i="45"/>
  <c r="B39" i="45"/>
  <c r="C38" i="45"/>
  <c r="B38" i="45"/>
  <c r="C37" i="45"/>
  <c r="B37" i="45"/>
  <c r="C36" i="45"/>
  <c r="B36" i="45"/>
  <c r="C35" i="45"/>
  <c r="B35" i="45"/>
  <c r="C34" i="45"/>
  <c r="B34" i="45"/>
  <c r="C33" i="45"/>
  <c r="B33" i="45"/>
  <c r="C32" i="45"/>
  <c r="B32" i="45"/>
  <c r="C31" i="45"/>
  <c r="B31" i="45"/>
  <c r="C30" i="45"/>
  <c r="B30" i="45"/>
  <c r="C29" i="45"/>
  <c r="B29" i="45"/>
  <c r="C28" i="45"/>
  <c r="B28" i="45"/>
  <c r="C27" i="45"/>
  <c r="B27" i="45"/>
  <c r="C26" i="45"/>
  <c r="B26" i="45"/>
  <c r="C25" i="45"/>
  <c r="B25" i="45"/>
  <c r="C24" i="45"/>
  <c r="B24" i="45"/>
  <c r="C23" i="45"/>
  <c r="B23" i="45"/>
  <c r="C22" i="45"/>
  <c r="B22" i="45"/>
  <c r="C21" i="45"/>
  <c r="B21" i="45"/>
  <c r="C20" i="45"/>
  <c r="B20" i="45"/>
  <c r="C19" i="45"/>
  <c r="B19" i="45"/>
  <c r="C18" i="45"/>
  <c r="B18" i="45"/>
  <c r="C17" i="45"/>
  <c r="B17" i="45"/>
  <c r="C16" i="45"/>
  <c r="B16" i="45"/>
  <c r="C15" i="45"/>
  <c r="B15" i="45"/>
  <c r="C14" i="45"/>
  <c r="B14" i="45"/>
  <c r="C13" i="45"/>
  <c r="B13" i="45"/>
  <c r="C12" i="45"/>
  <c r="B12" i="45"/>
  <c r="C11" i="45"/>
  <c r="B11" i="45"/>
  <c r="C10" i="45"/>
  <c r="B10" i="45"/>
  <c r="C9" i="45"/>
  <c r="B9" i="45"/>
  <c r="C8" i="45"/>
  <c r="B8" i="45"/>
  <c r="C7" i="45"/>
  <c r="B7" i="45"/>
  <c r="C6" i="45"/>
  <c r="B6" i="45"/>
  <c r="C5" i="45"/>
  <c r="B5" i="45"/>
  <c r="C4" i="45"/>
  <c r="B4" i="45"/>
  <c r="C3" i="45"/>
  <c r="B3" i="45"/>
  <c r="B2" i="45"/>
  <c r="C18" i="43"/>
  <c r="B18" i="43"/>
  <c r="C17" i="43"/>
  <c r="B17" i="43"/>
  <c r="C16" i="43"/>
  <c r="B16" i="43"/>
  <c r="C15" i="43"/>
  <c r="B15" i="43"/>
  <c r="C14" i="43"/>
  <c r="B14" i="43"/>
  <c r="C13" i="43"/>
  <c r="B13" i="43"/>
  <c r="C12" i="43"/>
  <c r="B12" i="43"/>
  <c r="C11" i="43"/>
  <c r="B11" i="43"/>
  <c r="C10" i="43"/>
  <c r="B10" i="43"/>
  <c r="C9" i="43"/>
  <c r="B9" i="43"/>
  <c r="C8" i="43"/>
  <c r="B8" i="43"/>
  <c r="C7" i="43"/>
  <c r="B7" i="43"/>
  <c r="C6" i="43"/>
  <c r="B6" i="43"/>
  <c r="C5" i="43"/>
  <c r="B5" i="43"/>
  <c r="C4" i="43"/>
  <c r="B4" i="43"/>
  <c r="C3" i="43"/>
  <c r="B3" i="43"/>
  <c r="B2" i="43"/>
  <c r="C34" i="42"/>
  <c r="B34" i="42"/>
  <c r="C33" i="42"/>
  <c r="B33" i="42"/>
  <c r="C32" i="42"/>
  <c r="B32" i="42"/>
  <c r="C31" i="42"/>
  <c r="B31" i="42"/>
  <c r="C30" i="42"/>
  <c r="B30" i="42"/>
  <c r="C29" i="42"/>
  <c r="B29" i="42"/>
  <c r="C28" i="42"/>
  <c r="B28" i="42"/>
  <c r="C27" i="42"/>
  <c r="B27" i="42"/>
  <c r="C26" i="42"/>
  <c r="B26" i="42"/>
  <c r="C25" i="42"/>
  <c r="B25" i="42"/>
  <c r="C24" i="42"/>
  <c r="B24" i="42"/>
  <c r="C23" i="42"/>
  <c r="B23" i="42"/>
  <c r="C22" i="42"/>
  <c r="B22" i="42"/>
  <c r="C21" i="42"/>
  <c r="B21" i="42"/>
  <c r="C20" i="42"/>
  <c r="B20" i="42"/>
  <c r="C19" i="42"/>
  <c r="B19" i="42"/>
  <c r="C18" i="42"/>
  <c r="B18" i="42"/>
  <c r="C17" i="42"/>
  <c r="B17" i="42"/>
  <c r="C16" i="42"/>
  <c r="B16" i="42"/>
  <c r="C15" i="42"/>
  <c r="B15" i="42"/>
  <c r="C14" i="42"/>
  <c r="B14" i="42"/>
  <c r="C13" i="42"/>
  <c r="B13" i="42"/>
  <c r="C12" i="42"/>
  <c r="B12" i="42"/>
  <c r="C11" i="42"/>
  <c r="B11" i="42"/>
  <c r="C10" i="42"/>
  <c r="B10" i="42"/>
  <c r="C9" i="42"/>
  <c r="B9" i="42"/>
  <c r="C8" i="42"/>
  <c r="B8" i="42"/>
  <c r="C7" i="42"/>
  <c r="B7" i="42"/>
  <c r="C6" i="42"/>
  <c r="B6" i="42"/>
  <c r="C5" i="42"/>
  <c r="B5" i="42"/>
  <c r="C4" i="42"/>
  <c r="B4" i="42"/>
  <c r="C3" i="42"/>
  <c r="B3" i="42"/>
  <c r="B2" i="42"/>
  <c r="C21" i="16"/>
  <c r="B21" i="16"/>
  <c r="C20" i="16"/>
  <c r="B20" i="16"/>
  <c r="C19" i="16"/>
  <c r="B19" i="16"/>
  <c r="C18" i="16"/>
  <c r="B18" i="16"/>
  <c r="C17" i="16"/>
  <c r="B17" i="16"/>
  <c r="C16" i="16"/>
  <c r="B16" i="16"/>
  <c r="C15" i="16"/>
  <c r="B15" i="16"/>
  <c r="C14" i="16"/>
  <c r="B14" i="16"/>
  <c r="C13" i="16"/>
  <c r="B13" i="16"/>
  <c r="C12" i="16"/>
  <c r="B12" i="16"/>
  <c r="C11" i="16"/>
  <c r="B11" i="16"/>
  <c r="C10" i="16"/>
  <c r="B10" i="16"/>
  <c r="C9" i="16"/>
  <c r="B9" i="16"/>
  <c r="C8" i="16"/>
  <c r="B8" i="16"/>
  <c r="C7" i="16"/>
  <c r="B7" i="16"/>
  <c r="C6" i="16"/>
  <c r="B6" i="16"/>
  <c r="C5" i="16"/>
  <c r="B5" i="16"/>
  <c r="C4" i="16"/>
  <c r="B4" i="16"/>
  <c r="C3" i="16"/>
  <c r="B3" i="16"/>
  <c r="B2" i="16"/>
  <c r="B39" i="23"/>
  <c r="B33" i="23"/>
  <c r="B29" i="23"/>
  <c r="B28" i="23"/>
  <c r="B24" i="23"/>
  <c r="B23" i="23"/>
  <c r="B20" i="23"/>
  <c r="B16" i="23"/>
  <c r="C15" i="23"/>
  <c r="B15" i="23"/>
  <c r="C14" i="23"/>
  <c r="B14" i="23"/>
  <c r="C13" i="23"/>
  <c r="B13" i="23"/>
  <c r="C12" i="23"/>
  <c r="B12" i="23"/>
  <c r="C11" i="23"/>
  <c r="B11" i="23"/>
  <c r="C10" i="23"/>
  <c r="B10" i="23"/>
  <c r="C9" i="23"/>
  <c r="B9" i="23"/>
  <c r="C8" i="23"/>
  <c r="B8" i="23"/>
  <c r="C7" i="23"/>
  <c r="B7" i="23"/>
  <c r="C6" i="23"/>
  <c r="B6" i="23"/>
  <c r="C5" i="23"/>
  <c r="B5" i="23"/>
  <c r="C4" i="23"/>
  <c r="B4" i="23"/>
  <c r="C3" i="23"/>
  <c r="B3" i="23"/>
  <c r="B2" i="23"/>
  <c r="C3" i="34"/>
  <c r="B3" i="34"/>
  <c r="B2" i="34"/>
  <c r="C10" i="40"/>
  <c r="B10" i="40"/>
  <c r="C9" i="40"/>
  <c r="B9" i="40"/>
  <c r="C8" i="40"/>
  <c r="B8" i="40"/>
  <c r="C7" i="40"/>
  <c r="B7" i="40"/>
  <c r="C6" i="40"/>
  <c r="B6" i="40"/>
  <c r="C5" i="40"/>
  <c r="B5" i="40"/>
  <c r="C4" i="40"/>
  <c r="B4" i="40"/>
  <c r="C3" i="40"/>
  <c r="B3" i="40"/>
  <c r="B2" i="40"/>
  <c r="C18" i="41"/>
  <c r="B18" i="41"/>
  <c r="C17" i="41"/>
  <c r="B17" i="41"/>
  <c r="C16" i="41"/>
  <c r="B16" i="41"/>
  <c r="C15" i="41"/>
  <c r="B15" i="41"/>
  <c r="C14" i="41"/>
  <c r="B14" i="41"/>
  <c r="C13" i="41"/>
  <c r="B13" i="41"/>
  <c r="C12" i="41"/>
  <c r="B12" i="41"/>
  <c r="C11" i="41"/>
  <c r="B11" i="41"/>
  <c r="C10" i="41"/>
  <c r="B10" i="41"/>
  <c r="C9" i="41"/>
  <c r="B9" i="41"/>
  <c r="C8" i="41"/>
  <c r="B8" i="41"/>
  <c r="C7" i="41"/>
  <c r="B7" i="41"/>
  <c r="C6" i="41"/>
  <c r="B6" i="41"/>
  <c r="C5" i="41"/>
  <c r="B5" i="41"/>
  <c r="C4" i="41"/>
  <c r="B4" i="41"/>
  <c r="C3" i="41"/>
  <c r="B3" i="41"/>
  <c r="B2" i="41"/>
  <c r="C18" i="39"/>
  <c r="B18" i="39"/>
  <c r="C17" i="39"/>
  <c r="B17" i="39"/>
  <c r="C16" i="39"/>
  <c r="B16" i="39"/>
  <c r="C15" i="39"/>
  <c r="B15" i="39"/>
  <c r="C14" i="39"/>
  <c r="B14" i="39"/>
  <c r="C13" i="39"/>
  <c r="B13" i="39"/>
  <c r="C12" i="39"/>
  <c r="B12" i="39"/>
  <c r="C11" i="39"/>
  <c r="B11" i="39"/>
  <c r="C10" i="39"/>
  <c r="B10" i="39"/>
  <c r="C9" i="39"/>
  <c r="B9" i="39"/>
  <c r="C8" i="39"/>
  <c r="B8" i="39"/>
  <c r="C7" i="39"/>
  <c r="B7" i="39"/>
  <c r="C6" i="39"/>
  <c r="B6" i="39"/>
  <c r="C5" i="39"/>
  <c r="B5" i="39"/>
  <c r="C4" i="39"/>
  <c r="B4" i="39"/>
  <c r="C3" i="39"/>
  <c r="B3" i="39"/>
  <c r="B2" i="39"/>
  <c r="C6" i="30"/>
  <c r="B6" i="30"/>
  <c r="C5" i="30"/>
  <c r="B5" i="30"/>
  <c r="C4" i="30"/>
  <c r="B4" i="30"/>
  <c r="C3" i="30"/>
  <c r="B3" i="30"/>
  <c r="B2" i="30"/>
  <c r="C66" i="28"/>
  <c r="B66" i="28"/>
  <c r="C65" i="28"/>
  <c r="B65" i="28"/>
  <c r="C64" i="28"/>
  <c r="B64" i="28"/>
  <c r="C63" i="28"/>
  <c r="B63" i="28"/>
  <c r="C62" i="28"/>
  <c r="B62" i="28"/>
  <c r="C61" i="28"/>
  <c r="B61" i="28"/>
  <c r="C60" i="28"/>
  <c r="B60" i="28"/>
  <c r="C59" i="28"/>
  <c r="B59" i="28"/>
  <c r="C58" i="28"/>
  <c r="B58" i="28"/>
  <c r="C57" i="28"/>
  <c r="B57" i="28"/>
  <c r="C56" i="28"/>
  <c r="B56" i="28"/>
  <c r="C55" i="28"/>
  <c r="B55" i="28"/>
  <c r="C54" i="28"/>
  <c r="B54" i="28"/>
  <c r="C53" i="28"/>
  <c r="B53" i="28"/>
  <c r="C52" i="28"/>
  <c r="B52" i="28"/>
  <c r="C51" i="28"/>
  <c r="B51" i="28"/>
  <c r="C50" i="28"/>
  <c r="B50" i="28"/>
  <c r="C49" i="28"/>
  <c r="B49" i="28"/>
  <c r="C48" i="28"/>
  <c r="B48" i="28"/>
  <c r="C47" i="28"/>
  <c r="B47" i="28"/>
  <c r="C46" i="28"/>
  <c r="B46" i="28"/>
  <c r="C45" i="28"/>
  <c r="B45" i="28"/>
  <c r="C44" i="28"/>
  <c r="B44" i="28"/>
  <c r="C43" i="28"/>
  <c r="B43" i="28"/>
  <c r="C42" i="28"/>
  <c r="B42" i="28"/>
  <c r="C41" i="28"/>
  <c r="B41" i="28"/>
  <c r="C40" i="28"/>
  <c r="B40" i="28"/>
  <c r="C39" i="28"/>
  <c r="B39" i="28"/>
  <c r="C38" i="28"/>
  <c r="B38" i="28"/>
  <c r="C37" i="28"/>
  <c r="B37" i="28"/>
  <c r="C36" i="28"/>
  <c r="B36" i="28"/>
  <c r="C35" i="28"/>
  <c r="B35" i="28"/>
  <c r="C34" i="28"/>
  <c r="B34" i="28"/>
  <c r="C33" i="28"/>
  <c r="B33" i="28"/>
  <c r="C32" i="28"/>
  <c r="B32" i="28"/>
  <c r="C31" i="28"/>
  <c r="B31" i="28"/>
  <c r="C30" i="28"/>
  <c r="B30" i="28"/>
  <c r="C29" i="28"/>
  <c r="B29" i="28"/>
  <c r="C28" i="28"/>
  <c r="B28" i="28"/>
  <c r="C27" i="28"/>
  <c r="B27" i="28"/>
  <c r="C26" i="28"/>
  <c r="B26" i="28"/>
  <c r="C25" i="28"/>
  <c r="B25" i="28"/>
  <c r="C24" i="28"/>
  <c r="B24" i="28"/>
  <c r="C23" i="28"/>
  <c r="B23" i="28"/>
  <c r="C22" i="28"/>
  <c r="B22" i="28"/>
  <c r="C21" i="28"/>
  <c r="B21" i="28"/>
  <c r="C20" i="28"/>
  <c r="B20" i="28"/>
  <c r="C19" i="28"/>
  <c r="B19" i="28"/>
  <c r="C18" i="28"/>
  <c r="B18" i="28"/>
  <c r="C17" i="28"/>
  <c r="B17" i="28"/>
  <c r="C16" i="28"/>
  <c r="B16" i="28"/>
  <c r="C15" i="28"/>
  <c r="B15" i="28"/>
  <c r="C14" i="28"/>
  <c r="B14" i="28"/>
  <c r="C13" i="28"/>
  <c r="B13" i="28"/>
  <c r="C12" i="28"/>
  <c r="B12" i="28"/>
  <c r="C11" i="28"/>
  <c r="B11" i="28"/>
  <c r="C10" i="28"/>
  <c r="B10" i="28"/>
  <c r="C9" i="28"/>
  <c r="B9" i="28"/>
  <c r="C8" i="28"/>
  <c r="B8" i="28"/>
  <c r="C7" i="28"/>
  <c r="B7" i="28"/>
  <c r="C6" i="28"/>
  <c r="B6" i="28"/>
  <c r="C5" i="28"/>
  <c r="B5" i="28"/>
  <c r="C4" i="28"/>
  <c r="B4" i="28"/>
  <c r="C3" i="28"/>
  <c r="B3" i="28"/>
  <c r="B2" i="28"/>
  <c r="C66" i="31"/>
  <c r="B66" i="31"/>
  <c r="C65" i="31"/>
  <c r="B65" i="31"/>
  <c r="C64" i="31"/>
  <c r="B64" i="31"/>
  <c r="C63" i="31"/>
  <c r="B63" i="31"/>
  <c r="C62" i="31"/>
  <c r="B62" i="31"/>
  <c r="C61" i="31"/>
  <c r="B61" i="31"/>
  <c r="C60" i="31"/>
  <c r="B60" i="31"/>
  <c r="C59" i="31"/>
  <c r="B59" i="31"/>
  <c r="C58" i="31"/>
  <c r="B58" i="31"/>
  <c r="C57" i="31"/>
  <c r="B57" i="31"/>
  <c r="C56" i="31"/>
  <c r="B56" i="31"/>
  <c r="C55" i="31"/>
  <c r="B55" i="31"/>
  <c r="C54" i="31"/>
  <c r="B54" i="31"/>
  <c r="C53" i="31"/>
  <c r="B53" i="31"/>
  <c r="C52" i="31"/>
  <c r="B52" i="31"/>
  <c r="C51" i="31"/>
  <c r="B51" i="31"/>
  <c r="C50" i="31"/>
  <c r="B50" i="31"/>
  <c r="C49" i="31"/>
  <c r="B49" i="31"/>
  <c r="C48" i="31"/>
  <c r="B48" i="31"/>
  <c r="C47" i="31"/>
  <c r="B47" i="31"/>
  <c r="C46" i="31"/>
  <c r="B46" i="31"/>
  <c r="C45" i="31"/>
  <c r="B45" i="31"/>
  <c r="C44" i="31"/>
  <c r="B44" i="31"/>
  <c r="C43" i="31"/>
  <c r="B43" i="31"/>
  <c r="C42" i="31"/>
  <c r="B42" i="31"/>
  <c r="C41" i="31"/>
  <c r="B41" i="31"/>
  <c r="C40" i="31"/>
  <c r="B40" i="31"/>
  <c r="C39" i="31"/>
  <c r="B39" i="31"/>
  <c r="C38" i="31"/>
  <c r="B38" i="31"/>
  <c r="C37" i="31"/>
  <c r="B37" i="31"/>
  <c r="C36" i="31"/>
  <c r="B36" i="31"/>
  <c r="C35" i="31"/>
  <c r="B35" i="31"/>
  <c r="C34" i="31"/>
  <c r="B34" i="31"/>
  <c r="C33" i="31"/>
  <c r="B33" i="31"/>
  <c r="C32" i="31"/>
  <c r="B32" i="31"/>
  <c r="C31" i="31"/>
  <c r="B31" i="31"/>
  <c r="C30" i="31"/>
  <c r="B30" i="31"/>
  <c r="C29" i="31"/>
  <c r="B29" i="31"/>
  <c r="C28" i="31"/>
  <c r="B28" i="31"/>
  <c r="C27" i="31"/>
  <c r="B27" i="31"/>
  <c r="C26" i="31"/>
  <c r="B26" i="31"/>
  <c r="C25" i="31"/>
  <c r="B25" i="31"/>
  <c r="C24" i="31"/>
  <c r="B24" i="31"/>
  <c r="C23" i="31"/>
  <c r="B23" i="31"/>
  <c r="C22" i="31"/>
  <c r="B22" i="31"/>
  <c r="C21" i="31"/>
  <c r="B21" i="31"/>
  <c r="C20" i="31"/>
  <c r="B20" i="31"/>
  <c r="C19" i="31"/>
  <c r="B19" i="31"/>
  <c r="C18" i="31"/>
  <c r="B18" i="31"/>
  <c r="C17" i="31"/>
  <c r="B17" i="31"/>
  <c r="C16" i="31"/>
  <c r="B16" i="31"/>
  <c r="C15" i="31"/>
  <c r="B15" i="31"/>
  <c r="C14" i="31"/>
  <c r="B14" i="31"/>
  <c r="C13" i="31"/>
  <c r="B13" i="31"/>
  <c r="C12" i="31"/>
  <c r="B12" i="31"/>
  <c r="C11" i="31"/>
  <c r="B11" i="31"/>
  <c r="C10" i="31"/>
  <c r="B10" i="31"/>
  <c r="C9" i="31"/>
  <c r="B9" i="31"/>
  <c r="C8" i="31"/>
  <c r="B8" i="31"/>
  <c r="C7" i="31"/>
  <c r="B7" i="31"/>
  <c r="C6" i="31"/>
  <c r="B6" i="31"/>
  <c r="C5" i="31"/>
  <c r="B5" i="31"/>
  <c r="C4" i="31"/>
  <c r="B4" i="31"/>
  <c r="C3" i="31"/>
  <c r="B3" i="31"/>
  <c r="B2" i="31"/>
  <c r="C82" i="29"/>
  <c r="B82" i="29"/>
  <c r="C81" i="29"/>
  <c r="B81" i="29"/>
  <c r="C80" i="29"/>
  <c r="B80" i="29"/>
  <c r="C79" i="29"/>
  <c r="B79" i="29"/>
  <c r="C78" i="29"/>
  <c r="B78" i="29"/>
  <c r="C77" i="29"/>
  <c r="B77" i="29"/>
  <c r="C76" i="29"/>
  <c r="B76" i="29"/>
  <c r="C75" i="29"/>
  <c r="B75" i="29"/>
  <c r="C74" i="29"/>
  <c r="B74" i="29"/>
  <c r="C73" i="29"/>
  <c r="B73" i="29"/>
  <c r="C72" i="29"/>
  <c r="B72" i="29"/>
  <c r="C71" i="29"/>
  <c r="B71" i="29"/>
  <c r="C70" i="29"/>
  <c r="B70" i="29"/>
  <c r="C69" i="29"/>
  <c r="B69" i="29"/>
  <c r="C68" i="29"/>
  <c r="B68" i="29"/>
  <c r="C67" i="29"/>
  <c r="B67" i="29"/>
  <c r="C66" i="29"/>
  <c r="B66" i="29"/>
  <c r="C65" i="29"/>
  <c r="B65" i="29"/>
  <c r="C64" i="29"/>
  <c r="B64" i="29"/>
  <c r="C63" i="29"/>
  <c r="B63" i="29"/>
  <c r="C62" i="29"/>
  <c r="B62" i="29"/>
  <c r="C61" i="29"/>
  <c r="B61" i="29"/>
  <c r="C60" i="29"/>
  <c r="B60" i="29"/>
  <c r="C59" i="29"/>
  <c r="B59" i="29"/>
  <c r="C58" i="29"/>
  <c r="B58" i="29"/>
  <c r="C57" i="29"/>
  <c r="B57" i="29"/>
  <c r="C56" i="29"/>
  <c r="B56" i="29"/>
  <c r="C55" i="29"/>
  <c r="B55" i="29"/>
  <c r="C54" i="29"/>
  <c r="B54" i="29"/>
  <c r="C53" i="29"/>
  <c r="B53" i="29"/>
  <c r="C52" i="29"/>
  <c r="B52" i="29"/>
  <c r="C51" i="29"/>
  <c r="B51" i="29"/>
  <c r="C50" i="29"/>
  <c r="B50" i="29"/>
  <c r="C49" i="29"/>
  <c r="B49" i="29"/>
  <c r="C48" i="29"/>
  <c r="B48" i="29"/>
  <c r="C47" i="29"/>
  <c r="B47" i="29"/>
  <c r="C46" i="29"/>
  <c r="B46" i="29"/>
  <c r="C45" i="29"/>
  <c r="B45" i="29"/>
  <c r="C44" i="29"/>
  <c r="B44" i="29"/>
  <c r="C43" i="29"/>
  <c r="B43" i="29"/>
  <c r="C42" i="29"/>
  <c r="B42" i="29"/>
  <c r="C41" i="29"/>
  <c r="B41" i="29"/>
  <c r="C40" i="29"/>
  <c r="B40" i="29"/>
  <c r="C39" i="29"/>
  <c r="B39" i="29"/>
  <c r="C38" i="29"/>
  <c r="B38" i="29"/>
  <c r="C37" i="29"/>
  <c r="B37" i="29"/>
  <c r="C36" i="29"/>
  <c r="B36" i="29"/>
  <c r="C35" i="29"/>
  <c r="B35" i="29"/>
  <c r="C34" i="29"/>
  <c r="B34" i="29"/>
  <c r="C33" i="29"/>
  <c r="B33" i="29"/>
  <c r="C32" i="29"/>
  <c r="B32" i="29"/>
  <c r="C31" i="29"/>
  <c r="B31" i="29"/>
  <c r="C30" i="29"/>
  <c r="B30" i="29"/>
  <c r="C29" i="29"/>
  <c r="B29" i="29"/>
  <c r="C28" i="29"/>
  <c r="B28" i="29"/>
  <c r="C27" i="29"/>
  <c r="B27" i="29"/>
  <c r="C26" i="29"/>
  <c r="B26" i="29"/>
  <c r="C25" i="29"/>
  <c r="B25" i="29"/>
  <c r="C24" i="29"/>
  <c r="B24" i="29"/>
  <c r="C23" i="29"/>
  <c r="B23" i="29"/>
  <c r="C22" i="29"/>
  <c r="B22" i="29"/>
  <c r="C21" i="29"/>
  <c r="B21" i="29"/>
  <c r="C20" i="29"/>
  <c r="B20" i="29"/>
  <c r="C19" i="29"/>
  <c r="B19" i="29"/>
  <c r="C18" i="29"/>
  <c r="B18" i="29"/>
  <c r="C17" i="29"/>
  <c r="B17" i="29"/>
  <c r="C16" i="29"/>
  <c r="B16" i="29"/>
  <c r="C15" i="29"/>
  <c r="B15" i="29"/>
  <c r="C14" i="29"/>
  <c r="B14" i="29"/>
  <c r="C13" i="29"/>
  <c r="B13" i="29"/>
  <c r="C12" i="29"/>
  <c r="B12" i="29"/>
  <c r="C11" i="29"/>
  <c r="B11" i="29"/>
  <c r="C10" i="29"/>
  <c r="B10" i="29"/>
  <c r="C9" i="29"/>
  <c r="B9" i="29"/>
  <c r="C8" i="29"/>
  <c r="B8" i="29"/>
  <c r="C7" i="29"/>
  <c r="B7" i="29"/>
  <c r="C6" i="29"/>
  <c r="B6" i="29"/>
  <c r="C5" i="29"/>
  <c r="B5" i="29"/>
  <c r="C4" i="29"/>
  <c r="B4" i="29"/>
  <c r="C3" i="29"/>
  <c r="B3" i="29"/>
  <c r="B2" i="29"/>
  <c r="C98" i="26"/>
  <c r="B98" i="26"/>
  <c r="C97" i="26"/>
  <c r="B97" i="26"/>
  <c r="C96" i="26"/>
  <c r="B96" i="26"/>
  <c r="C95" i="26"/>
  <c r="B95" i="26"/>
  <c r="C94" i="26"/>
  <c r="B94" i="26"/>
  <c r="C93" i="26"/>
  <c r="B93" i="26"/>
  <c r="C92" i="26"/>
  <c r="B92" i="26"/>
  <c r="C91" i="26"/>
  <c r="B91" i="26"/>
  <c r="C90" i="26"/>
  <c r="B90" i="26"/>
  <c r="C89" i="26"/>
  <c r="B89" i="26"/>
  <c r="C88" i="26"/>
  <c r="B88" i="26"/>
  <c r="C87" i="26"/>
  <c r="B87" i="26"/>
  <c r="C86" i="26"/>
  <c r="B86" i="26"/>
  <c r="C85" i="26"/>
  <c r="B85" i="26"/>
  <c r="C84" i="26"/>
  <c r="B84" i="26"/>
  <c r="C83" i="26"/>
  <c r="B83" i="26"/>
  <c r="C82" i="26"/>
  <c r="B82" i="26"/>
  <c r="C81" i="26"/>
  <c r="B81" i="26"/>
  <c r="C80" i="26"/>
  <c r="B80" i="26"/>
  <c r="C79" i="26"/>
  <c r="B79" i="26"/>
  <c r="C78" i="26"/>
  <c r="B78" i="26"/>
  <c r="C77" i="26"/>
  <c r="B77" i="26"/>
  <c r="C76" i="26"/>
  <c r="B76" i="26"/>
  <c r="C75" i="26"/>
  <c r="B75" i="26"/>
  <c r="C74" i="26"/>
  <c r="B74" i="26"/>
  <c r="C73" i="26"/>
  <c r="B73" i="26"/>
  <c r="C72" i="26"/>
  <c r="B72" i="26"/>
  <c r="C71" i="26"/>
  <c r="B71" i="26"/>
  <c r="C70" i="26"/>
  <c r="B70" i="26"/>
  <c r="C69" i="26"/>
  <c r="B69" i="26"/>
  <c r="C68" i="26"/>
  <c r="B68" i="26"/>
  <c r="C67" i="26"/>
  <c r="B67" i="26"/>
  <c r="C66" i="26"/>
  <c r="B66" i="26"/>
  <c r="C65" i="26"/>
  <c r="B65" i="26"/>
  <c r="C64" i="26"/>
  <c r="B64" i="26"/>
  <c r="C63" i="26"/>
  <c r="B63" i="26"/>
  <c r="C62" i="26"/>
  <c r="B62" i="26"/>
  <c r="C61" i="26"/>
  <c r="B61" i="26"/>
  <c r="C60" i="26"/>
  <c r="B60" i="26"/>
  <c r="C59" i="26"/>
  <c r="B59" i="26"/>
  <c r="C58" i="26"/>
  <c r="B58" i="26"/>
  <c r="C57" i="26"/>
  <c r="B57" i="26"/>
  <c r="C56" i="26"/>
  <c r="B56" i="26"/>
  <c r="C55" i="26"/>
  <c r="B55" i="26"/>
  <c r="C54" i="26"/>
  <c r="B54" i="26"/>
  <c r="C53" i="26"/>
  <c r="B53" i="26"/>
  <c r="C52" i="26"/>
  <c r="B52" i="26"/>
  <c r="C51" i="26"/>
  <c r="B51" i="26"/>
  <c r="C50" i="26"/>
  <c r="B50" i="26"/>
  <c r="C49" i="26"/>
  <c r="B49" i="26"/>
  <c r="C48" i="26"/>
  <c r="B48" i="26"/>
  <c r="C47" i="26"/>
  <c r="B47" i="26"/>
  <c r="C46" i="26"/>
  <c r="B46" i="26"/>
  <c r="C45" i="26"/>
  <c r="B45" i="26"/>
  <c r="C44" i="26"/>
  <c r="B44" i="26"/>
  <c r="C43" i="26"/>
  <c r="B43" i="26"/>
  <c r="C42" i="26"/>
  <c r="B42" i="26"/>
  <c r="C41" i="26"/>
  <c r="B41" i="26"/>
  <c r="C40" i="26"/>
  <c r="B40" i="26"/>
  <c r="C39" i="26"/>
  <c r="B39" i="26"/>
  <c r="C38" i="26"/>
  <c r="B38" i="26"/>
  <c r="C37" i="26"/>
  <c r="B37" i="26"/>
  <c r="C36" i="26"/>
  <c r="B36" i="26"/>
  <c r="C35" i="26"/>
  <c r="B35" i="26"/>
  <c r="C34" i="26"/>
  <c r="B34" i="26"/>
  <c r="C33" i="26"/>
  <c r="B33" i="26"/>
  <c r="C32" i="26"/>
  <c r="B32" i="26"/>
  <c r="C31" i="26"/>
  <c r="B31" i="26"/>
  <c r="C30" i="26"/>
  <c r="B30" i="26"/>
  <c r="C29" i="26"/>
  <c r="B29" i="26"/>
  <c r="C28" i="26"/>
  <c r="B28" i="26"/>
  <c r="C27" i="26"/>
  <c r="B27" i="26"/>
  <c r="C26" i="26"/>
  <c r="B26" i="26"/>
  <c r="C25" i="26"/>
  <c r="B25" i="26"/>
  <c r="C24" i="26"/>
  <c r="B24" i="26"/>
  <c r="C23" i="26"/>
  <c r="B23" i="26"/>
  <c r="C22" i="26"/>
  <c r="B22" i="26"/>
  <c r="C21" i="26"/>
  <c r="B21" i="26"/>
  <c r="C20" i="26"/>
  <c r="B20" i="26"/>
  <c r="C19" i="26"/>
  <c r="B19" i="26"/>
  <c r="C18" i="26"/>
  <c r="B18" i="26"/>
  <c r="C17" i="26"/>
  <c r="B17" i="26"/>
  <c r="C16" i="26"/>
  <c r="B16" i="26"/>
  <c r="C15" i="26"/>
  <c r="B15" i="26"/>
  <c r="C14" i="26"/>
  <c r="B14" i="26"/>
  <c r="C13" i="26"/>
  <c r="B13" i="26"/>
  <c r="C12" i="26"/>
  <c r="B12" i="26"/>
  <c r="C11" i="26"/>
  <c r="B11" i="26"/>
  <c r="C10" i="26"/>
  <c r="B10" i="26"/>
  <c r="C9" i="26"/>
  <c r="B9" i="26"/>
  <c r="C8" i="26"/>
  <c r="B8" i="26"/>
  <c r="C7" i="26"/>
  <c r="B7" i="26"/>
  <c r="C6" i="26"/>
  <c r="B6" i="26"/>
  <c r="C5" i="26"/>
  <c r="B5" i="26"/>
  <c r="C4" i="26"/>
  <c r="B4" i="26"/>
  <c r="C3" i="26"/>
  <c r="B3" i="26"/>
  <c r="B2" i="26"/>
  <c r="C34" i="33"/>
  <c r="B34" i="33"/>
  <c r="C33" i="33"/>
  <c r="B33" i="33"/>
  <c r="C32" i="33"/>
  <c r="B32" i="33"/>
  <c r="C31" i="33"/>
  <c r="B31" i="33"/>
  <c r="C30" i="33"/>
  <c r="B30" i="33"/>
  <c r="C29" i="33"/>
  <c r="B29" i="33"/>
  <c r="C28" i="33"/>
  <c r="B28" i="33"/>
  <c r="C27" i="33"/>
  <c r="B27" i="33"/>
  <c r="C26" i="33"/>
  <c r="B26" i="33"/>
  <c r="C25" i="33"/>
  <c r="B25" i="33"/>
  <c r="C24" i="33"/>
  <c r="B24" i="33"/>
  <c r="C23" i="33"/>
  <c r="B23" i="33"/>
  <c r="C22" i="33"/>
  <c r="B22" i="33"/>
  <c r="C21" i="33"/>
  <c r="B21" i="33"/>
  <c r="C20" i="33"/>
  <c r="B20" i="33"/>
  <c r="C19" i="33"/>
  <c r="B19" i="33"/>
  <c r="C18" i="33"/>
  <c r="B18" i="33"/>
  <c r="C17" i="33"/>
  <c r="B17" i="33"/>
  <c r="C16" i="33"/>
  <c r="B16" i="33"/>
  <c r="C15" i="33"/>
  <c r="B15" i="33"/>
  <c r="C14" i="33"/>
  <c r="B14" i="33"/>
  <c r="C13" i="33"/>
  <c r="B13" i="33"/>
  <c r="C12" i="33"/>
  <c r="B12" i="33"/>
  <c r="C11" i="33"/>
  <c r="B11" i="33"/>
  <c r="C10" i="33"/>
  <c r="B10" i="33"/>
  <c r="C9" i="33"/>
  <c r="B9" i="33"/>
  <c r="C8" i="33"/>
  <c r="B8" i="33"/>
  <c r="C7" i="33"/>
  <c r="B7" i="33"/>
  <c r="C6" i="33"/>
  <c r="B6" i="33"/>
  <c r="C5" i="33"/>
  <c r="B5" i="33"/>
  <c r="C4" i="33"/>
  <c r="B4" i="33"/>
  <c r="C3" i="33"/>
  <c r="B3" i="33"/>
  <c r="B2" i="33"/>
  <c r="C66" i="27"/>
  <c r="B66" i="27"/>
  <c r="C65" i="27"/>
  <c r="B65" i="27"/>
  <c r="C64" i="27"/>
  <c r="B64" i="27"/>
  <c r="C63" i="27"/>
  <c r="B63" i="27"/>
  <c r="C62" i="27"/>
  <c r="B62" i="27"/>
  <c r="C61" i="27"/>
  <c r="B61" i="27"/>
  <c r="C60" i="27"/>
  <c r="B60" i="27"/>
  <c r="C59" i="27"/>
  <c r="B59" i="27"/>
  <c r="C58" i="27"/>
  <c r="B58" i="27"/>
  <c r="C57" i="27"/>
  <c r="B57" i="27"/>
  <c r="C56" i="27"/>
  <c r="B56" i="27"/>
  <c r="C55" i="27"/>
  <c r="B55" i="27"/>
  <c r="C54" i="27"/>
  <c r="B54" i="27"/>
  <c r="C53" i="27"/>
  <c r="B53" i="27"/>
  <c r="C52" i="27"/>
  <c r="B52" i="27"/>
  <c r="C51" i="27"/>
  <c r="B51" i="27"/>
  <c r="C50" i="27"/>
  <c r="B50" i="27"/>
  <c r="C49" i="27"/>
  <c r="B49" i="27"/>
  <c r="C48" i="27"/>
  <c r="B48" i="27"/>
  <c r="C47" i="27"/>
  <c r="B47" i="27"/>
  <c r="C46" i="27"/>
  <c r="B46" i="27"/>
  <c r="C45" i="27"/>
  <c r="B45" i="27"/>
  <c r="C44" i="27"/>
  <c r="B44" i="27"/>
  <c r="C43" i="27"/>
  <c r="B43" i="27"/>
  <c r="C42" i="27"/>
  <c r="B42" i="27"/>
  <c r="C41" i="27"/>
  <c r="B41" i="27"/>
  <c r="C40" i="27"/>
  <c r="B40" i="27"/>
  <c r="C39" i="27"/>
  <c r="B39" i="27"/>
  <c r="C38" i="27"/>
  <c r="B38" i="27"/>
  <c r="C37" i="27"/>
  <c r="B37" i="27"/>
  <c r="C36" i="27"/>
  <c r="B36" i="27"/>
  <c r="C35" i="27"/>
  <c r="B35" i="27"/>
  <c r="C34" i="27"/>
  <c r="B34" i="27"/>
  <c r="C33" i="27"/>
  <c r="B33" i="27"/>
  <c r="C32" i="27"/>
  <c r="B32" i="27"/>
  <c r="C31" i="27"/>
  <c r="B31" i="27"/>
  <c r="C30" i="27"/>
  <c r="B30" i="27"/>
  <c r="C29" i="27"/>
  <c r="B29" i="27"/>
  <c r="C28" i="27"/>
  <c r="B28" i="27"/>
  <c r="C27" i="27"/>
  <c r="B27" i="27"/>
  <c r="C26" i="27"/>
  <c r="B26" i="27"/>
  <c r="C25" i="27"/>
  <c r="B25" i="27"/>
  <c r="C24" i="27"/>
  <c r="B24" i="27"/>
  <c r="C23" i="27"/>
  <c r="B23" i="27"/>
  <c r="C22" i="27"/>
  <c r="B22" i="27"/>
  <c r="C21" i="27"/>
  <c r="B21" i="27"/>
  <c r="C20" i="27"/>
  <c r="B20" i="27"/>
  <c r="C19" i="27"/>
  <c r="B19" i="27"/>
  <c r="C18" i="27"/>
  <c r="B18" i="27"/>
  <c r="C17" i="27"/>
  <c r="B17" i="27"/>
  <c r="C16" i="27"/>
  <c r="B16" i="27"/>
  <c r="C15" i="27"/>
  <c r="B15" i="27"/>
  <c r="C14" i="27"/>
  <c r="B14" i="27"/>
  <c r="C13" i="27"/>
  <c r="B13" i="27"/>
  <c r="C12" i="27"/>
  <c r="B12" i="27"/>
  <c r="C11" i="27"/>
  <c r="B11" i="27"/>
  <c r="C10" i="27"/>
  <c r="B10" i="27"/>
  <c r="C9" i="27"/>
  <c r="B9" i="27"/>
  <c r="C8" i="27"/>
  <c r="B8" i="27"/>
  <c r="C7" i="27"/>
  <c r="B7" i="27"/>
  <c r="C6" i="27"/>
  <c r="B6" i="27"/>
  <c r="C5" i="27"/>
  <c r="B5" i="27"/>
  <c r="C4" i="27"/>
  <c r="B4" i="27"/>
  <c r="C3" i="27"/>
  <c r="B3" i="27"/>
  <c r="B2" i="27"/>
  <c r="C18" i="25"/>
  <c r="B18" i="25"/>
  <c r="C17" i="25"/>
  <c r="B17" i="25"/>
  <c r="C16" i="25"/>
  <c r="B16" i="25"/>
  <c r="C15" i="25"/>
  <c r="B15" i="25"/>
  <c r="C14" i="25"/>
  <c r="B14" i="25"/>
  <c r="C13" i="25"/>
  <c r="B13" i="25"/>
  <c r="C12" i="25"/>
  <c r="B12" i="25"/>
  <c r="C11" i="25"/>
  <c r="B11" i="25"/>
  <c r="C10" i="25"/>
  <c r="B10" i="25"/>
  <c r="C9" i="25"/>
  <c r="B9" i="25"/>
  <c r="C8" i="25"/>
  <c r="B8" i="25"/>
  <c r="C7" i="25"/>
  <c r="B7" i="25"/>
  <c r="C6" i="25"/>
  <c r="B6" i="25"/>
  <c r="C5" i="25"/>
  <c r="B5" i="25"/>
  <c r="C4" i="25"/>
  <c r="B4" i="25"/>
  <c r="C3" i="25"/>
  <c r="B3" i="25"/>
  <c r="B2" i="25"/>
  <c r="C98" i="35"/>
  <c r="B98" i="35"/>
  <c r="C97" i="35"/>
  <c r="B97" i="35"/>
  <c r="C96" i="35"/>
  <c r="B96" i="35"/>
  <c r="C95" i="35"/>
  <c r="B95" i="35"/>
  <c r="C94" i="35"/>
  <c r="B94" i="35"/>
  <c r="C93" i="35"/>
  <c r="B93" i="35"/>
  <c r="C92" i="35"/>
  <c r="B92" i="35"/>
  <c r="C91" i="35"/>
  <c r="B91" i="35"/>
  <c r="C90" i="35"/>
  <c r="B90" i="35"/>
  <c r="C89" i="35"/>
  <c r="B89" i="35"/>
  <c r="C88" i="35"/>
  <c r="B88" i="35"/>
  <c r="C87" i="35"/>
  <c r="B87" i="35"/>
  <c r="C86" i="35"/>
  <c r="B86" i="35"/>
  <c r="C85" i="35"/>
  <c r="B85" i="35"/>
  <c r="C84" i="35"/>
  <c r="B84" i="35"/>
  <c r="C83" i="35"/>
  <c r="B83" i="35"/>
  <c r="C82" i="35"/>
  <c r="B82" i="35"/>
  <c r="C81" i="35"/>
  <c r="B81" i="35"/>
  <c r="C80" i="35"/>
  <c r="B80" i="35"/>
  <c r="C79" i="35"/>
  <c r="B79" i="35"/>
  <c r="C78" i="35"/>
  <c r="B78" i="35"/>
  <c r="C77" i="35"/>
  <c r="B77" i="35"/>
  <c r="C76" i="35"/>
  <c r="B76" i="35"/>
  <c r="C75" i="35"/>
  <c r="B75" i="35"/>
  <c r="C74" i="35"/>
  <c r="B74" i="35"/>
  <c r="C73" i="35"/>
  <c r="B73" i="35"/>
  <c r="C72" i="35"/>
  <c r="B72" i="35"/>
  <c r="C71" i="35"/>
  <c r="B71" i="35"/>
  <c r="C70" i="35"/>
  <c r="B70" i="35"/>
  <c r="C69" i="35"/>
  <c r="B69" i="35"/>
  <c r="C68" i="35"/>
  <c r="B68" i="35"/>
  <c r="C67" i="35"/>
  <c r="B67" i="35"/>
  <c r="C66" i="35"/>
  <c r="B66" i="35"/>
  <c r="C65" i="35"/>
  <c r="B65" i="35"/>
  <c r="C64" i="35"/>
  <c r="B64" i="35"/>
  <c r="C63" i="35"/>
  <c r="B63" i="35"/>
  <c r="C62" i="35"/>
  <c r="B62" i="35"/>
  <c r="C61" i="35"/>
  <c r="B61" i="35"/>
  <c r="C60" i="35"/>
  <c r="B60" i="35"/>
  <c r="C59" i="35"/>
  <c r="B59" i="35"/>
  <c r="C58" i="35"/>
  <c r="B58" i="35"/>
  <c r="C57" i="35"/>
  <c r="B57" i="35"/>
  <c r="C56" i="35"/>
  <c r="B56" i="35"/>
  <c r="C55" i="35"/>
  <c r="B55" i="35"/>
  <c r="C54" i="35"/>
  <c r="B54" i="35"/>
  <c r="C53" i="35"/>
  <c r="B53" i="35"/>
  <c r="C52" i="35"/>
  <c r="B52" i="35"/>
  <c r="C51" i="35"/>
  <c r="B51" i="35"/>
  <c r="C50" i="35"/>
  <c r="B50" i="35"/>
  <c r="C49" i="35"/>
  <c r="B49" i="35"/>
  <c r="C48" i="35"/>
  <c r="B48" i="35"/>
  <c r="C47" i="35"/>
  <c r="B47" i="35"/>
  <c r="C46" i="35"/>
  <c r="B46" i="35"/>
  <c r="C45" i="35"/>
  <c r="B45" i="35"/>
  <c r="C44" i="35"/>
  <c r="B44" i="35"/>
  <c r="C43" i="35"/>
  <c r="B43" i="35"/>
  <c r="C42" i="35"/>
  <c r="B42" i="35"/>
  <c r="C41" i="35"/>
  <c r="B41" i="35"/>
  <c r="C40" i="35"/>
  <c r="B40" i="35"/>
  <c r="C39" i="35"/>
  <c r="B39" i="35"/>
  <c r="C38" i="35"/>
  <c r="B38" i="35"/>
  <c r="C37" i="35"/>
  <c r="B37" i="35"/>
  <c r="C36" i="35"/>
  <c r="B36" i="35"/>
  <c r="C35" i="35"/>
  <c r="B35" i="35"/>
  <c r="C34" i="35"/>
  <c r="B34" i="35"/>
  <c r="C33" i="35"/>
  <c r="B33" i="35"/>
  <c r="C32" i="35"/>
  <c r="B32" i="35"/>
  <c r="C31" i="35"/>
  <c r="B31" i="35"/>
  <c r="C30" i="35"/>
  <c r="B30" i="35"/>
  <c r="C29" i="35"/>
  <c r="B29" i="35"/>
  <c r="C28" i="35"/>
  <c r="B28" i="35"/>
  <c r="C27" i="35"/>
  <c r="B27" i="35"/>
  <c r="C26" i="35"/>
  <c r="B26" i="35"/>
  <c r="C25" i="35"/>
  <c r="B25" i="35"/>
  <c r="C24" i="35"/>
  <c r="B24" i="35"/>
  <c r="C23" i="35"/>
  <c r="B23" i="35"/>
  <c r="C22" i="35"/>
  <c r="B22" i="35"/>
  <c r="C21" i="35"/>
  <c r="B21" i="35"/>
  <c r="C20" i="35"/>
  <c r="B20" i="35"/>
  <c r="C19" i="35"/>
  <c r="B19" i="35"/>
  <c r="C18" i="35"/>
  <c r="B18" i="35"/>
  <c r="C17" i="35"/>
  <c r="B17" i="35"/>
  <c r="C16" i="35"/>
  <c r="B16" i="35"/>
  <c r="C15" i="35"/>
  <c r="B15" i="35"/>
  <c r="C14" i="35"/>
  <c r="B14" i="35"/>
  <c r="C13" i="35"/>
  <c r="B13" i="35"/>
  <c r="C12" i="35"/>
  <c r="B12" i="35"/>
  <c r="C11" i="35"/>
  <c r="B11" i="35"/>
  <c r="C10" i="35"/>
  <c r="B10" i="35"/>
  <c r="C9" i="35"/>
  <c r="B9" i="35"/>
  <c r="C8" i="35"/>
  <c r="B8" i="35"/>
  <c r="C7" i="35"/>
  <c r="B7" i="35"/>
  <c r="C6" i="35"/>
  <c r="B6" i="35"/>
  <c r="C5" i="35"/>
  <c r="B5" i="35"/>
  <c r="C4" i="35"/>
  <c r="B4" i="35"/>
  <c r="C3" i="35"/>
  <c r="B3" i="35"/>
  <c r="B2" i="35"/>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B26" i="22"/>
  <c r="C26" i="22" s="1"/>
  <c r="C25" i="22"/>
  <c r="B25" i="22"/>
  <c r="B24" i="22"/>
  <c r="C24" i="22" s="1"/>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C4" i="22"/>
  <c r="B4" i="22"/>
  <c r="C3" i="22"/>
  <c r="B3" i="22"/>
  <c r="B2" i="22"/>
</calcChain>
</file>

<file path=xl/sharedStrings.xml><?xml version="1.0" encoding="utf-8"?>
<sst xmlns="http://schemas.openxmlformats.org/spreadsheetml/2006/main" count="3134" uniqueCount="899">
  <si>
    <t>Version</t>
  </si>
  <si>
    <t>Author</t>
  </si>
  <si>
    <t>time</t>
  </si>
  <si>
    <t>Changes</t>
  </si>
  <si>
    <t>V1.0</t>
  </si>
  <si>
    <t>Huo Junhong</t>
  </si>
  <si>
    <t>First draft</t>
  </si>
  <si>
    <t>V1.1</t>
  </si>
  <si>
    <t>Improve the content of the external agreement</t>
  </si>
  <si>
    <t>V1.2</t>
  </si>
  <si>
    <t>Modify the external protocol address and add redundancy design.</t>
  </si>
  <si>
    <t>V1.3</t>
  </si>
  <si>
    <t>Mao Jiankun</t>
  </si>
  <si>
    <t>Modify the calibration address table and supplement the calibration object table.</t>
  </si>
  <si>
    <t>V1.4</t>
  </si>
  <si>
    <t>1. Corrected the communication format description. 2. Added an FCT driver enable register. 3. Supplemented the address of the inverter DC component register. 4. Added generator-related register addresses. 5. Supplemented the definition of the 0x0040 field for BMS information. 6. Supplemented RTC calibration information.</t>
  </si>
  <si>
    <t>V1.5</t>
  </si>
  <si>
    <t>1. Added OTA flashing field. 2. Adjusted the starting address of the user parameter setting field.</t>
  </si>
  <si>
    <t>V1.6</t>
  </si>
  <si>
    <t>1. Simplify field data supplementation and organization. 2. Rated field data deletion. 3. Battery current unit changed to 0.1A. 4. Supplementary explanation of NTC data corresponding points. 5. User setting method modification.</t>
  </si>
  <si>
    <t>V1.7</t>
  </si>
  <si>
    <t>1. Added explanation of alarm codes. 2. Removed rated information field. 3. Removed charging mode setting field. 4. Updated output priority &amp; operating mode description. 5. Removed system error warning field and updated description of factory reset function. 6. Updated maximum charging current and dual output setting description. 7. Added model configuration screen configuration field.</t>
  </si>
  <si>
    <t>V1.8</t>
  </si>
  <si>
    <t>1. Added a field for users to set the current execution state. 2. Changed the device model configuration description.</t>
  </si>
  <si>
    <t>V1.9</t>
  </si>
  <si>
    <t>1. Added description of BMS connection status. 2. Corrected load percentage unit to '%'. 3. Added 'GEN' output mode, 'MKP' output priority, and 'PVF' charging priority. 4. Added fields for 'Total Power Feeded to Grid This Year', 'Output Power This Year', and 'PV Power Generation This Year'. 5. Corrected FCT drive percentage unit. 6. Added description of calibration object table. 7. Added explanation of BMS protocol selection and ID selection. 8. Added explanation of SOC related settings. 9. Removed WF_UserExecute field.</t>
  </si>
  <si>
    <t>V1.10</t>
  </si>
  <si>
    <t>1. Added battery power, AC power, and generator power fields (Note: These three power values are estimated and have low accuracy! Use with caution!) 2. Updated the description of the maximum discharge current field in User Settings. 3. Corrected the units for BMS rated capacity and current capacity. 4. Supplemented usage notes for BMS-related settings.</t>
  </si>
  <si>
    <t>V1.11</t>
  </si>
  <si>
    <t>1. Added power-related data to the Simplify field and adjusted the data structure. 2. Added only power consumption data to the Line field. 3. Supplemented the parsing of some UserSet settings.</t>
  </si>
  <si>
    <t>V1.12</t>
  </si>
  <si>
    <t>1. Added settings fields related to automatic feeder power switching.</t>
  </si>
  <si>
    <t>V1.13</t>
  </si>
  <si>
    <t>Wang Jianfei</t>
  </si>
  <si>
    <t>1. Added Factory Test Acceleration to Charge State Switch (FCT) 2. Added Flag to Set Fan Speed to 100 Before Shutdown</t>
  </si>
  <si>
    <t>V1.14</t>
  </si>
  <si>
    <t>Bai Yiting</t>
  </si>
  <si>
    <t>Added instruction to set inverter current reference value for output power less than 50W</t>
  </si>
  <si>
    <t>V1.15</t>
  </si>
  <si>
    <t>Add reverse key commands</t>
  </si>
  <si>
    <t>V1.16</t>
  </si>
  <si>
    <t>Mao Jiankun and Bai Yiting</t>
  </si>
  <si>
    <t xml:space="preserve"> 1. Modified the MDC setting range according to VMH6KU requirements. 2. Updated the definition of the Wi-Fi connection flag to be compatible with the disconnection detection requirements of different Wi-Fi networks. 3. Added a PVF priority setting to the charging priority. 4. Added dual-output cutoff SOC function. 5. Added bus voltage detection bit. 6. Added button detection to FCT mode. 7. Corrected the definition and description of fault flag bits. 8. Defined 0x0040 as the high 8 bits of the major version and the low 8 bits of the minor version of the software version. 9. Defined 0x0038 and 0x0039 protocol identification codes to distinguish different customers and different models for Wi-Fi interface differentiation. 10. Added the maximum AC charging current definition supported by some models in 0x4105.</t>
  </si>
  <si>
    <t>V1.17</t>
  </si>
  <si>
    <t>1. Added alarms 76 and 77: 76CT reverse connection, 77 unstable mains power. 2. Model identification number 0x0038 is used for combined customer and model identification; 0x0039 is reserved. 3. Added instructions for writing version number markers.</t>
  </si>
  <si>
    <t>V1.18</t>
  </si>
  <si>
    <t>Lin Jinqiang</t>
  </si>
  <si>
    <t>1. Added model description and parameters for 5KVMHU. 2. Added definition for address 0x1020, which can read the inverter's serial number (SN).</t>
  </si>
  <si>
    <t>V1.19</t>
  </si>
  <si>
    <t>1. NTC pages increase discharge temperature</t>
  </si>
  <si>
    <t>V1.20</t>
  </si>
  <si>
    <t>1. Added explanation for version number writing markers. 2. Added options to the 0x412E setting. 3. Added a new RGB screen lock setting 0x414C.</t>
  </si>
  <si>
    <t>byte count</t>
  </si>
  <si>
    <t>Frame format</t>
  </si>
  <si>
    <t>Slave address</t>
  </si>
  <si>
    <t>Function code</t>
  </si>
  <si>
    <t>Starting address</t>
  </si>
  <si>
    <t>Number of registers (high-order bits)</t>
  </si>
  <si>
    <t>Register count (low byte)</t>
  </si>
  <si>
    <t>CRC16</t>
  </si>
  <si>
    <t>high level</t>
  </si>
  <si>
    <t>low position</t>
  </si>
  <si>
    <t>index</t>
  </si>
  <si>
    <t>illustrate</t>
  </si>
  <si>
    <t>0x03</t>
  </si>
  <si>
    <t>Read data</t>
  </si>
  <si>
    <t>0x10</t>
  </si>
  <si>
    <t>Write data</t>
  </si>
  <si>
    <t>Exception Code</t>
  </si>
  <si>
    <t>Protocol Definition</t>
  </si>
  <si>
    <t>Request command function code not allowed</t>
  </si>
  <si>
    <t>Request to read/write address out of bounds</t>
  </si>
  <si>
    <t>The written value exceeds the upper and lower limits set by the data.</t>
  </si>
  <si>
    <t>Unable to receive a reply from the timed communication device for more than 3 seconds</t>
  </si>
  <si>
    <t>0x03 Regular query packet sending</t>
  </si>
  <si>
    <t>0x10 Standard Packet Sending Settings</t>
  </si>
  <si>
    <t>1</t>
  </si>
  <si>
    <t>2N</t>
  </si>
  <si>
    <t>Number of registers</t>
  </si>
  <si>
    <t>CRC check</t>
  </si>
  <si>
    <t>data</t>
  </si>
  <si>
    <t>high byte</t>
  </si>
  <si>
    <t>low byte</t>
  </si>
  <si>
    <t>CRC low</t>
  </si>
  <si>
    <t>CRC high</t>
  </si>
  <si>
    <t>Example</t>
  </si>
  <si>
    <t>01</t>
  </si>
  <si>
    <t>03</t>
  </si>
  <si>
    <t>/</t>
  </si>
  <si>
    <t>N</t>
  </si>
  <si>
    <t>CRC</t>
  </si>
  <si>
    <t>10</t>
  </si>
  <si>
    <t>0x03 Standard Return Packet</t>
  </si>
  <si>
    <t>0x10 Normal return packet</t>
  </si>
  <si>
    <t>2</t>
  </si>
  <si>
    <t>byte length</t>
  </si>
  <si>
    <t>0x10 Abnormal response packet</t>
  </si>
  <si>
    <t>83</t>
  </si>
  <si>
    <t>90</t>
  </si>
  <si>
    <t>Serial Number</t>
  </si>
  <si>
    <t>address in decimal</t>
  </si>
  <si>
    <t>address</t>
  </si>
  <si>
    <t>variable name</t>
  </si>
  <si>
    <t>Permissions</t>
  </si>
  <si>
    <t>meaning</t>
  </si>
  <si>
    <t>Variable type</t>
  </si>
  <si>
    <t>unit</t>
  </si>
  <si>
    <t>usage</t>
  </si>
  <si>
    <t>Low limit</t>
  </si>
  <si>
    <t>High limit</t>
  </si>
  <si>
    <t>0000</t>
  </si>
  <si>
    <t>Version status debugging address set</t>
  </si>
  <si>
    <t>Reading and writing</t>
  </si>
  <si>
    <t>SN code</t>
  </si>
  <si>
    <t>uint16_t</t>
  </si>
  <si>
    <t>3</t>
  </si>
  <si>
    <t>4</t>
  </si>
  <si>
    <t>5</t>
  </si>
  <si>
    <t>6</t>
  </si>
  <si>
    <t>7</t>
  </si>
  <si>
    <t>8</t>
  </si>
  <si>
    <t>9</t>
  </si>
  <si>
    <t>11</t>
  </si>
  <si>
    <t>reserve</t>
  </si>
  <si>
    <t>12</t>
  </si>
  <si>
    <t>13</t>
  </si>
  <si>
    <t>14</t>
  </si>
  <si>
    <t>15</t>
  </si>
  <si>
    <t>16</t>
  </si>
  <si>
    <t>SN code lock</t>
  </si>
  <si>
    <t>To write the serial number, this location must be set to 0xA55A for the serial number to be retained even after power loss.</t>
  </si>
  <si>
    <t>17</t>
  </si>
  <si>
    <t>Read-only</t>
  </si>
  <si>
    <t>Protocol version_H</t>
  </si>
  <si>
    <t>18</t>
  </si>
  <si>
    <t>Protocol version_L</t>
  </si>
  <si>
    <t>19</t>
  </si>
  <si>
    <t>Power board hardware version_H</t>
  </si>
  <si>
    <t>20</t>
  </si>
  <si>
    <t>Power board hardware version_L</t>
  </si>
  <si>
    <t>twenty one</t>
  </si>
  <si>
    <t>Control board hardware version_H</t>
  </si>
  <si>
    <t>twenty two</t>
  </si>
  <si>
    <t>Control board hardware version_L</t>
  </si>
  <si>
    <t>twenty three</t>
  </si>
  <si>
    <t>Centralized control version hardware version H</t>
  </si>
  <si>
    <t>twenty four</t>
  </si>
  <si>
    <t>Centralized control version hardware version L</t>
  </si>
  <si>
    <t>25</t>
  </si>
  <si>
    <t>Power board software version_H</t>
  </si>
  <si>
    <t>26</t>
  </si>
  <si>
    <t>Power board software version_L</t>
  </si>
  <si>
    <t>27</t>
  </si>
  <si>
    <t>Control board software version_H</t>
  </si>
  <si>
    <t>28</t>
  </si>
  <si>
    <t>Control board software version_L</t>
  </si>
  <si>
    <t>29</t>
  </si>
  <si>
    <t>Centralized control software version H</t>
  </si>
  <si>
    <t>30</t>
  </si>
  <si>
    <t>Centralized control software version L</t>
  </si>
  <si>
    <t>31</t>
  </si>
  <si>
    <t>Version Time_H</t>
  </si>
  <si>
    <t>32</t>
  </si>
  <si>
    <t>Version Time_L</t>
  </si>
  <si>
    <t>33</t>
  </si>
  <si>
    <t>CheckSum_H</t>
  </si>
  <si>
    <t>34</t>
  </si>
  <si>
    <t>CheckSum_L</t>
  </si>
  <si>
    <t>35</t>
  </si>
  <si>
    <t>PC communication protocol version</t>
  </si>
  <si>
    <t>36</t>
  </si>
  <si>
    <t>WiFi communication protocol version</t>
  </si>
  <si>
    <t>37</t>
  </si>
  <si>
    <t>BMS communication protocol version</t>
  </si>
  <si>
    <t>38</t>
  </si>
  <si>
    <t>Parallel communication protocol version</t>
  </si>
  <si>
    <t>39</t>
  </si>
  <si>
    <t>40</t>
  </si>
  <si>
    <t>41</t>
  </si>
  <si>
    <t>42</t>
  </si>
  <si>
    <t>43</t>
  </si>
  <si>
    <t>44</t>
  </si>
  <si>
    <t>45</t>
  </si>
  <si>
    <t>46</t>
  </si>
  <si>
    <t>47</t>
  </si>
  <si>
    <t>48</t>
  </si>
  <si>
    <t>49</t>
  </si>
  <si>
    <t>50</t>
  </si>
  <si>
    <t>51</t>
  </si>
  <si>
    <t>52</t>
  </si>
  <si>
    <t>53</t>
  </si>
  <si>
    <t>54</t>
  </si>
  <si>
    <t>55</t>
  </si>
  <si>
    <t>56</t>
  </si>
  <si>
    <t>57</t>
  </si>
  <si>
    <t>Protocol Identifier_A</t>
  </si>
  <si>
    <t>Compatible Customers: 0x00: Reference Design 0x01: Reserved</t>
  </si>
  <si>
    <t>58</t>
  </si>
  <si>
    <t>Protocol Identifier_B</t>
  </si>
  <si>
    <t>Compatible models: 0x00: 6.5K 0x10: 6KU 0x20: 5KU</t>
  </si>
  <si>
    <t>59</t>
  </si>
  <si>
    <t>Protocol Identifier_C</t>
  </si>
  <si>
    <t>60</t>
  </si>
  <si>
    <t>Protocol Identifier_D</t>
  </si>
  <si>
    <t>61</t>
  </si>
  <si>
    <t>Device Type_H</t>
  </si>
  <si>
    <t>62</t>
  </si>
  <si>
    <t>Equipment type_L</t>
  </si>
  <si>
    <t>63</t>
  </si>
  <si>
    <t>Company Information_H</t>
  </si>
  <si>
    <t>64</t>
  </si>
  <si>
    <t>Company Information_L</t>
  </si>
  <si>
    <t>0040</t>
  </si>
  <si>
    <t>Simplified information address set</t>
  </si>
  <si>
    <t>Software version (major &amp; minor)</t>
  </si>
  <si>
    <t>High 8-bit major version, low 8-bit minor version</t>
  </si>
  <si>
    <t>BMS connection status</t>
  </si>
  <si>
    <t>0: ID search in progress; 1: ID locked - CAN; 2: ID locked - serial port; 3: ID remotely locked.</t>
  </si>
  <si>
    <t>State machine states</t>
  </si>
  <si>
    <t>Energy terminal status</t>
  </si>
  <si>
    <t>Energy flow state</t>
  </si>
  <si>
    <t>Parallel operation</t>
  </si>
  <si>
    <t>Fault Code 1</t>
  </si>
  <si>
    <t>BIT00: Mains soft start failure BIT01: Bus overvoltage BIT02: Bus undervoltage BIT03: Battery overcurrent BIT04: Overtemperature BIT05: Battery overvoltage BIT06: Battery soft start failure BIT07: Bus short circuit BIT08: Inverter soft start failure BIT09: Inverter overvoltage BIT10: Inverter undervoltage BIT11: Inverter short circuit BIT12: Negative power protection BIT13: Overload failure BIT14: Unit model and hardware incompatibility BIT15: No bootloader</t>
  </si>
  <si>
    <t>Fault Code 2</t>
  </si>
  <si>
    <t>BIT00: Programming in progress BIT01: Photovoltaic reverse connection BIT02: Parallel serial number abnormal BIT03: Parallel communication abnormal BIT04: Excessive voltage difference between parallel batteries BIT05: Excessive voltage difference between parallel mains BIT06: Excessive frequency difference between parallel mains BIT07: Phase loss in parallel setting BIT08: Loss of parallel output synchronization BIT09: BMS fault BIT10: MCU fault BIT11: Reserved BIT12: Inverter load abnormal</t>
  </si>
  <si>
    <t>Alarm code 1</t>
  </si>
  <si>
    <t>BIT00: Battery not connected BIT01: Battery undervoltage BIT02: Battery low voltage BIT03: Charger short circuit BIT04: Reserved BIT05: Battery overcharge BIT06: BMS lost BIT07: Overtemperature BIT08: Fan stalled BIT09: EEPROM fault BIT10: Overload BIT11: Generator waveform abnormal BIT12: Weak PV energy BIT13: Parallel synchronization signal lost BIT14: Parallel setting phase loss BIT15: Parallel version incompatible</t>
  </si>
  <si>
    <t>Alarm code 2</t>
  </si>
  <si>
    <t>BIT00: Parallel communication error BIT01: Excessive voltage difference or frequency in parallel operation BIT02: Low SOC shutdown BIT03: Low SOC alarm BIT04: Excessive battery voltage difference or not connected in parallel operation BIT05: Battery short circuit BIT06: Battery voltage below starting voltage BIT07: Generator overload BIT08: Generator undervoltage BIT09: Generator overvoltage BIT10: CT reverse connection BIT11: Unstable mains power</t>
  </si>
  <si>
    <t>Phase A mains voltage</t>
  </si>
  <si>
    <t>int16_t</t>
  </si>
  <si>
    <t>0.1V</t>
  </si>
  <si>
    <t>Phase A mains current</t>
  </si>
  <si>
    <t>0.01A</t>
  </si>
  <si>
    <t>Phase A mains frequency</t>
  </si>
  <si>
    <t>0.01Hz</t>
  </si>
  <si>
    <t>Phase A mains power</t>
  </si>
  <si>
    <t>1W</t>
  </si>
  <si>
    <t>Phase A generator voltage</t>
  </si>
  <si>
    <t>Phase A generator current</t>
  </si>
  <si>
    <t>Phase A generator frequency</t>
  </si>
  <si>
    <t>A-phase generator power</t>
  </si>
  <si>
    <t>Phase A load voltage</t>
  </si>
  <si>
    <t>Phase A load current</t>
  </si>
  <si>
    <t>Phase A load frequency</t>
  </si>
  <si>
    <t>Phase A load active power</t>
  </si>
  <si>
    <t>Apparent power of phase A load</t>
  </si>
  <si>
    <t>Phase A load percentage</t>
  </si>
  <si>
    <t>0.1%</t>
  </si>
  <si>
    <t>Phase B mains voltage</t>
  </si>
  <si>
    <t>Phase B mains current</t>
  </si>
  <si>
    <t>Phase B mains frequency</t>
  </si>
  <si>
    <t>Phase B AC power</t>
  </si>
  <si>
    <t>B-phase generator voltage</t>
  </si>
  <si>
    <t>B-phase generator current</t>
  </si>
  <si>
    <t>B-phase generator frequency</t>
  </si>
  <si>
    <t>B-phase generator power</t>
  </si>
  <si>
    <t>Phase B load voltage</t>
  </si>
  <si>
    <t>B-phase load current</t>
  </si>
  <si>
    <t>Phase B load frequency</t>
  </si>
  <si>
    <t>B-phase load active power</t>
  </si>
  <si>
    <t>Apparent power of phase B load</t>
  </si>
  <si>
    <t>Phase B load percentage</t>
  </si>
  <si>
    <t>C-phase mains voltage</t>
  </si>
  <si>
    <t>C-phase mains current</t>
  </si>
  <si>
    <t>C-phase mains frequency</t>
  </si>
  <si>
    <t>C-phase mains power</t>
  </si>
  <si>
    <t>C-phase generator voltage</t>
  </si>
  <si>
    <t>C-phase generator current</t>
  </si>
  <si>
    <t>C-phase generator frequency</t>
  </si>
  <si>
    <t>C-phase generator power</t>
  </si>
  <si>
    <t>C-phase load voltage</t>
  </si>
  <si>
    <t>C-phase load current</t>
  </si>
  <si>
    <t>C-phase load frequency</t>
  </si>
  <si>
    <t>C-phase load active power</t>
  </si>
  <si>
    <t>Apparent power of C-phase load</t>
  </si>
  <si>
    <t>C-phase load percentage</t>
  </si>
  <si>
    <t>65</t>
  </si>
  <si>
    <t>Positive terminal battery voltage</t>
  </si>
  <si>
    <t>66</t>
  </si>
  <si>
    <t>Positive terminal battery current</t>
  </si>
  <si>
    <t>0.1A</t>
  </si>
  <si>
    <t>67</t>
  </si>
  <si>
    <t>Negative battery voltage</t>
  </si>
  <si>
    <t>68</t>
  </si>
  <si>
    <t>Negative battery current</t>
  </si>
  <si>
    <t>69</t>
  </si>
  <si>
    <t>Battery capacity percentage</t>
  </si>
  <si>
    <t>70</t>
  </si>
  <si>
    <t>Battery power</t>
  </si>
  <si>
    <t>71</t>
  </si>
  <si>
    <t>72</t>
  </si>
  <si>
    <t>73</t>
  </si>
  <si>
    <t>BMS Battery Voltage</t>
  </si>
  <si>
    <t>74</t>
  </si>
  <si>
    <t>BMS Battery Current</t>
  </si>
  <si>
    <t>75</t>
  </si>
  <si>
    <t>BMS SOC</t>
  </si>
  <si>
    <t>%</t>
  </si>
  <si>
    <t>76</t>
  </si>
  <si>
    <t>BMS Temperature</t>
  </si>
  <si>
    <t>℃</t>
  </si>
  <si>
    <t>77</t>
  </si>
  <si>
    <t>BMS constant pressure point (CV point)</t>
  </si>
  <si>
    <t>78</t>
  </si>
  <si>
    <t>Rated capacity</t>
  </si>
  <si>
    <t>100mAH</t>
  </si>
  <si>
    <t>79</t>
  </si>
  <si>
    <t>Current capacity</t>
  </si>
  <si>
    <t>80</t>
  </si>
  <si>
    <t>BMS communication status</t>
  </si>
  <si>
    <t>81</t>
  </si>
  <si>
    <t>Lithium battery network status</t>
  </si>
  <si>
    <t>82</t>
  </si>
  <si>
    <t>BMS failure</t>
  </si>
  <si>
    <t>BMS Alarms</t>
  </si>
  <si>
    <t>84</t>
  </si>
  <si>
    <t>85</t>
  </si>
  <si>
    <t>86</t>
  </si>
  <si>
    <t>87</t>
  </si>
  <si>
    <t>Photovoltaic voltage 1</t>
  </si>
  <si>
    <t>88</t>
  </si>
  <si>
    <t>Photovoltaic 1 current</t>
  </si>
  <si>
    <t>89</t>
  </si>
  <si>
    <t>Photovoltaic power</t>
  </si>
  <si>
    <t>Photovoltaic 2 voltage</t>
  </si>
  <si>
    <t>91</t>
  </si>
  <si>
    <t>Photovoltaic 2 Current</t>
  </si>
  <si>
    <t>92</t>
  </si>
  <si>
    <t>Photovoltaic 2 power</t>
  </si>
  <si>
    <t>93</t>
  </si>
  <si>
    <t>Photovoltaic power generation on that day</t>
  </si>
  <si>
    <t>100Wh</t>
  </si>
  <si>
    <t>94</t>
  </si>
  <si>
    <t>Total photovoltaic power generation</t>
  </si>
  <si>
    <t>95</t>
  </si>
  <si>
    <t>96</t>
  </si>
  <si>
    <t>0140</t>
  </si>
  <si>
    <t>Work mode</t>
  </si>
  <si>
    <t>Output mode</t>
  </si>
  <si>
    <t>0: APP Mode; 1: UPS Mode; 2: GEN Mode (supported by some models)</t>
  </si>
  <si>
    <t>Parallel mode</t>
  </si>
  <si>
    <t>0: Single-phase mode; 1: Single-phase parallel operation; 2: Three-phase parallel operation (phase A); 3: Three-phase parallel operation (phase B); 4: Three-phase parallel operation (phase C).</t>
  </si>
  <si>
    <t>Output priority</t>
  </si>
  <si>
    <t>0: GBP 1: PGB 2: PBG 3: MKP (Supported by some models)</t>
  </si>
  <si>
    <t>Charging priority</t>
  </si>
  <si>
    <t>0: PNG 1: OPV 2: PVF (Supported by some models)</t>
  </si>
  <si>
    <t>0: Power On 1: Initialization 2: Standby Mode 3: AC Power Mode 4: Solar Power Mode 5: Battery Mode 6: Generator Mode 7: Fault Mode 8: Power Off Mode 9: Factory Mode 10: Upgrade Mode</t>
  </si>
  <si>
    <t>0150</t>
  </si>
  <si>
    <t>Battery information address set</t>
  </si>
  <si>
    <t>Battery Type</t>
  </si>
  <si>
    <t>0: Lead-acid battery; 1: Water-filled battery; 2: Ternary lithium battery; 3: Lithium iron phosphate battery; 4: Custom battery.</t>
  </si>
  <si>
    <t>Battery percentage</t>
  </si>
  <si>
    <t>1%</t>
  </si>
  <si>
    <t>Positive bus voltage</t>
  </si>
  <si>
    <t>Negative battery discharge current</t>
  </si>
  <si>
    <t>Positive terminal battery charging current</t>
  </si>
  <si>
    <t>Positive overvoltage alarm voltage</t>
  </si>
  <si>
    <t>Positive terminal low voltage alarm voltage</t>
  </si>
  <si>
    <t>Positive terminal dual-channel output cutoff voltage</t>
  </si>
  <si>
    <t>Positive dual-channel output cutoff time</t>
  </si>
  <si>
    <t>1H</t>
  </si>
  <si>
    <t>Positive battery power</t>
  </si>
  <si>
    <t>10W</t>
  </si>
  <si>
    <t>Negative bus voltage</t>
  </si>
  <si>
    <t>Negative battery charging current</t>
  </si>
  <si>
    <t>Overvoltage alarm voltage at negative terminal</t>
  </si>
  <si>
    <t>Negative terminal low voltage alarm voltage</t>
  </si>
  <si>
    <t>Negative terminal dual-channel output cutoff voltage</t>
  </si>
  <si>
    <t>Negative-end dual-channel output cutoff time</t>
  </si>
  <si>
    <t>Negative battery power</t>
  </si>
  <si>
    <t>Charging status</t>
  </si>
  <si>
    <t>0: No charging; 1: Constant voltage and constant current charging; 2: Float charging; 3: Balanced charging.</t>
  </si>
  <si>
    <t>Constant voltage charging</t>
  </si>
  <si>
    <t>Float charging voltage</t>
  </si>
  <si>
    <t>Constant voltage charging current</t>
  </si>
  <si>
    <t>float charging current</t>
  </si>
  <si>
    <t>Longest constant current charging time</t>
  </si>
  <si>
    <t>Longest constant voltage charging time</t>
  </si>
  <si>
    <t>Equalizing charging voltage</t>
  </si>
  <si>
    <t>Equalization charging time</t>
  </si>
  <si>
    <t>Equalization charging delay time</t>
  </si>
  <si>
    <t>Equalizing charging interval time</t>
  </si>
  <si>
    <t>1D</t>
  </si>
  <si>
    <t>Equalization Interval Time Counter</t>
  </si>
  <si>
    <t>0190</t>
  </si>
  <si>
    <t>BMS Debug Address Set</t>
  </si>
  <si>
    <t>Communication Protocol</t>
  </si>
  <si>
    <t>Communication status</t>
  </si>
  <si>
    <t>0: ID search in progress 1: ID remote lock 2: ID lock</t>
  </si>
  <si>
    <t>Package ID</t>
  </si>
  <si>
    <t>Voltage</t>
  </si>
  <si>
    <t>Current</t>
  </si>
  <si>
    <t>temperature</t>
  </si>
  <si>
    <t>1℃</t>
  </si>
  <si>
    <t>SOC</t>
  </si>
  <si>
    <t>SOH</t>
  </si>
  <si>
    <t>10mAH</t>
  </si>
  <si>
    <t>Full charge capacity</t>
  </si>
  <si>
    <t>CV points</t>
  </si>
  <si>
    <t>Maximum charging current</t>
  </si>
  <si>
    <t>Maximum discharge current</t>
  </si>
  <si>
    <t>Low SOC alarm points</t>
  </si>
  <si>
    <t>Low SOC shutdown point</t>
  </si>
  <si>
    <t>Low SOC switching point</t>
  </si>
  <si>
    <t>High SOC cut battery power</t>
  </si>
  <si>
    <t>Alarm</t>
  </si>
  <si>
    <t>mistake</t>
  </si>
  <si>
    <t>01B0</t>
  </si>
  <si>
    <t>Mains power status debugging address set</t>
  </si>
  <si>
    <t>Phase A AC power (electricity consumption only)</t>
  </si>
  <si>
    <t>A. Equivalent daily municipal power grid supply H</t>
  </si>
  <si>
    <t>10Wh</t>
  </si>
  <si>
    <t>A. Equivalent daily municipal power grid total L</t>
  </si>
  <si>
    <t>A is equivalent to the total monthly municipal power grid supply H</t>
  </si>
  <si>
    <t>A is equivalent to the total monthly power grid supply L</t>
  </si>
  <si>
    <t>A is equivalent to the total annual municipal power grid supply H</t>
  </si>
  <si>
    <t>A is equivalent to the total amount of municipal power grid feeder in a given year.</t>
  </si>
  <si>
    <t>The total power supply to the mains grid in phase A is H</t>
  </si>
  <si>
    <t>Total A-phase mains power supply L</t>
  </si>
  <si>
    <t>A. Equivalent daily electricity consumption H</t>
  </si>
  <si>
    <t>A is equivalent to the total daily electricity consumption L</t>
  </si>
  <si>
    <t>A is equivalent to H, the total monthly electricity consumption.</t>
  </si>
  <si>
    <t>A is equivalent to the total monthly electricity consumption L</t>
  </si>
  <si>
    <t>A. Equivalent annual total municipal electricity consumption H</t>
  </si>
  <si>
    <t>A is equivalent to the total annual electricity consumption of the municipality.</t>
  </si>
  <si>
    <t>Total electricity consumption of phase A by the mains H</t>
  </si>
  <si>
    <t>Total electricity consumption of phase A (L)</t>
  </si>
  <si>
    <t>Phase B AC power (power consumption only)</t>
  </si>
  <si>
    <t>B is equivalent to the total daily power supply to the municipal power grid.</t>
  </si>
  <si>
    <t>B is equivalent to the total monthly power grid supply H</t>
  </si>
  <si>
    <t>B is equivalent to the total monthly power grid supply L</t>
  </si>
  <si>
    <t>B is equivalent to the total annual municipal power grid supply H</t>
  </si>
  <si>
    <t>B is equivalent to the total annual municipal power grid supply L</t>
  </si>
  <si>
    <t>Total B-phase mains power supply H</t>
  </si>
  <si>
    <t>Total B-phase mains power supply L</t>
  </si>
  <si>
    <t>B is equivalent to H's daily total electricity consumption.</t>
  </si>
  <si>
    <t>B is equivalent to the daily total electricity consumption L</t>
  </si>
  <si>
    <t>B is equivalent to the total monthly electricity consumption H.</t>
  </si>
  <si>
    <t>B is equivalent to the total monthly electricity consumption L.</t>
  </si>
  <si>
    <t>B is equivalent to the total annual municipal electricity consumption H</t>
  </si>
  <si>
    <t>B is equivalent to the total annual electricity consumption of the municipality.</t>
  </si>
  <si>
    <t>Total electricity consumption of phase B from the mains H</t>
  </si>
  <si>
    <t>Total electricity consumption of phase B (L)</t>
  </si>
  <si>
    <t>C-phase AC power (power consumption only)</t>
  </si>
  <si>
    <t>C Equivalent daily municipal power grid total H</t>
  </si>
  <si>
    <t>C Equivalent daily municipal power grid total L</t>
  </si>
  <si>
    <t>C is equivalent to the total monthly municipal power grid supply H</t>
  </si>
  <si>
    <t>C is equivalent to the total monthly municipal power grid supply L</t>
  </si>
  <si>
    <t>C is equivalent to the total annual municipal power grid supply H</t>
  </si>
  <si>
    <t>is equivalent to the total annual municipal power grid supply L</t>
  </si>
  <si>
    <t>Total C-phase mains power supply H</t>
  </si>
  <si>
    <t>Total C-phase mains power supply L</t>
  </si>
  <si>
    <t>C Equivalent daily electricity consumption H</t>
  </si>
  <si>
    <t>C is equivalent to the total daily electricity consumption L</t>
  </si>
  <si>
    <t>C is equivalent to the total monthly electricity consumption H</t>
  </si>
  <si>
    <t>C is equivalent to the total monthly electricity consumption L</t>
  </si>
  <si>
    <t>C is equivalent to the total annual electricity consumption of the municipality.</t>
  </si>
  <si>
    <t>Total C-phase mains power consumption H</t>
  </si>
  <si>
    <t>Total C-phase mains power consumption L</t>
  </si>
  <si>
    <t>0210</t>
  </si>
  <si>
    <t>Output debug address set</t>
  </si>
  <si>
    <t>0:GPB 1:PGB 2:PBG 3:MKS</t>
  </si>
  <si>
    <t>Operating mode</t>
  </si>
  <si>
    <t>0:APP 1:UPS 2:GEN</t>
  </si>
  <si>
    <t>A-phase output voltage</t>
  </si>
  <si>
    <t>Phase A output frequency</t>
  </si>
  <si>
    <t>Phase A output current</t>
  </si>
  <si>
    <t>Phase A outputs a small current.</t>
  </si>
  <si>
    <t>Phase A output active power</t>
  </si>
  <si>
    <t>Apparent power output of phase A</t>
  </si>
  <si>
    <t>A equivalent daily output power H</t>
  </si>
  <si>
    <t>A equivalent daily output power L</t>
  </si>
  <si>
    <t>A is equivalent to monthly output power H</t>
  </si>
  <si>
    <t>A is equivalent to monthly power output L</t>
  </si>
  <si>
    <t>A equivalent annual power output H</t>
  </si>
  <si>
    <t>A equivalent annual power output L</t>
  </si>
  <si>
    <t>Phase A total output power H</t>
  </si>
  <si>
    <t>Phase A total output power L</t>
  </si>
  <si>
    <t>B-phase output voltage</t>
  </si>
  <si>
    <t>B-phase output frequency</t>
  </si>
  <si>
    <t>B-phase output current</t>
  </si>
  <si>
    <t>B-phase outputs a small current.</t>
  </si>
  <si>
    <t>Phase B output active power</t>
  </si>
  <si>
    <t>Phase B output apparent power</t>
  </si>
  <si>
    <t>B is equivalent to daily output power H</t>
  </si>
  <si>
    <t>B is equivalent to daily output power L</t>
  </si>
  <si>
    <t>B is equivalent to monthly output power H</t>
  </si>
  <si>
    <t>B is equivalent to monthly output power L</t>
  </si>
  <si>
    <t>B is equivalent to annual power output H</t>
  </si>
  <si>
    <t>B is equivalent to annual power output L</t>
  </si>
  <si>
    <t>Phase B total output power H</t>
  </si>
  <si>
    <t>Phase B total output power L</t>
  </si>
  <si>
    <t>C-phase output voltage</t>
  </si>
  <si>
    <t>C-phase output frequency</t>
  </si>
  <si>
    <t>C-phase output current</t>
  </si>
  <si>
    <t>C-phase outputs a small current.</t>
  </si>
  <si>
    <t>C-phase output active power</t>
  </si>
  <si>
    <t>C-phase output apparent power</t>
  </si>
  <si>
    <t>C is equivalent to daily output power H</t>
  </si>
  <si>
    <t>C Equivalent daily output power L</t>
  </si>
  <si>
    <t>C is equivalent to monthly output power H</t>
  </si>
  <si>
    <t>C is equivalent to monthly output power L</t>
  </si>
  <si>
    <t>C equivalent annual power output H</t>
  </si>
  <si>
    <t>C is equivalent to annual power output L</t>
  </si>
  <si>
    <t>C-phase total output power H</t>
  </si>
  <si>
    <t>C-phase total output power L</t>
  </si>
  <si>
    <t>0260</t>
  </si>
  <si>
    <t>Total photovoltaic address set</t>
  </si>
  <si>
    <t>Total photovoltaic voltage</t>
  </si>
  <si>
    <t>Total photovoltaic current H</t>
  </si>
  <si>
    <t>Total photovoltaic current L</t>
  </si>
  <si>
    <t>Total photovoltaic power H</t>
  </si>
  <si>
    <t>Total photovoltaic power L</t>
  </si>
  <si>
    <t>Total Solar Tracking Status</t>
  </si>
  <si>
    <t>Total state of solar power rechargeability</t>
  </si>
  <si>
    <t>Total photovoltaic power generation H</t>
  </si>
  <si>
    <t>Total photovoltaic power generation L</t>
  </si>
  <si>
    <t>Photovoltaic 1 tracking status</t>
  </si>
  <si>
    <t>Photovoltaic 1 Rechargeable State</t>
  </si>
  <si>
    <t>Photovoltaic power generation H on the day</t>
  </si>
  <si>
    <t>Photovoltaic power generation L on the day</t>
  </si>
  <si>
    <t>Photovoltaic power generation H in the current month</t>
  </si>
  <si>
    <t>Photovoltaic power generation L in the current month</t>
  </si>
  <si>
    <t>Photovoltaic power generation H in the current year</t>
  </si>
  <si>
    <t>Photovoltaic power generation L in the current year</t>
  </si>
  <si>
    <t>Total power generation H of photovoltaic 1</t>
  </si>
  <si>
    <t>Photovoltaic 1 Total Power Generation L</t>
  </si>
  <si>
    <t>Photovoltaic 2 tracking status</t>
  </si>
  <si>
    <t>Photovoltaic 2 Rechargeable State</t>
  </si>
  <si>
    <t>Photovoltaic 2's daily power generation H</t>
  </si>
  <si>
    <t>Photovoltaic 2's daily power generation L</t>
  </si>
  <si>
    <t>Photovoltaic 2's annual power generation H</t>
  </si>
  <si>
    <t>Photovoltaic 2's annual power generation L</t>
  </si>
  <si>
    <t>Photovoltaic 2 Total Power Generation H</t>
  </si>
  <si>
    <t>Photovoltaic 2 Total Power Generation L</t>
  </si>
  <si>
    <t>02A0</t>
  </si>
  <si>
    <t>Inverted address set</t>
  </si>
  <si>
    <t>Inverter voltage setting value</t>
  </si>
  <si>
    <t>0.1Hz</t>
  </si>
  <si>
    <t>Inverter frequency setting value</t>
  </si>
  <si>
    <t>A-phase inverter voltage</t>
  </si>
  <si>
    <t>A-phase inverter frequency</t>
  </si>
  <si>
    <t>A-phase inverter current</t>
  </si>
  <si>
    <t>Phase A DC component</t>
  </si>
  <si>
    <t>1mV</t>
  </si>
  <si>
    <t>Phase A Daily Input Power H</t>
  </si>
  <si>
    <t>Phase A Daily Input Power L</t>
  </si>
  <si>
    <t>Phase A Monthly Input Power H</t>
  </si>
  <si>
    <t>Phase A Monthly Input Power L</t>
  </si>
  <si>
    <t>Phase A total input power H</t>
  </si>
  <si>
    <t>Phase A total input power L</t>
  </si>
  <si>
    <t>Phase A daily output power H</t>
  </si>
  <si>
    <t>Phase A daily output power L</t>
  </si>
  <si>
    <t>Phase A output power H</t>
  </si>
  <si>
    <t>Phase A output power L</t>
  </si>
  <si>
    <t>B-phase inverter voltage</t>
  </si>
  <si>
    <t>B-phase inverter frequency</t>
  </si>
  <si>
    <t>B-phase inverter current</t>
  </si>
  <si>
    <t>Phase B DC component</t>
  </si>
  <si>
    <t>B-phase daily feeder power H</t>
  </si>
  <si>
    <t>B-phase daily feeder power L</t>
  </si>
  <si>
    <t>B-phase monthly feeder power H</t>
  </si>
  <si>
    <t>B-phase monthly feeder power L</t>
  </si>
  <si>
    <t>B-phase total grid power H</t>
  </si>
  <si>
    <t>B-phase total power supply L</t>
  </si>
  <si>
    <t>C-phase inverter voltage</t>
  </si>
  <si>
    <t>C-phase inverter frequency</t>
  </si>
  <si>
    <t>C-phase inverter current</t>
  </si>
  <si>
    <t>C-phase DC component</t>
  </si>
  <si>
    <t>C-phase daily feeder power H</t>
  </si>
  <si>
    <t>C-phase daily feeder power L</t>
  </si>
  <si>
    <t>C-phase monthly feeder power H</t>
  </si>
  <si>
    <t>C-phase monthly power supply L</t>
  </si>
  <si>
    <t>C-phase total grid power H</t>
  </si>
  <si>
    <t>C-phase total grid power L</t>
  </si>
  <si>
    <t>0320</t>
  </si>
  <si>
    <t>Fan information address set</t>
  </si>
  <si>
    <t>Fan speed</t>
  </si>
  <si>
    <t>Fan status</t>
  </si>
  <si>
    <t>A non-zero value indicates a stalled turn.</t>
  </si>
  <si>
    <t>0330</t>
  </si>
  <si>
    <t>Temperature address set</t>
  </si>
  <si>
    <t>PV temperature</t>
  </si>
  <si>
    <t>INV temperature</t>
  </si>
  <si>
    <t>CHG temperature</t>
  </si>
  <si>
    <t>CHG2 temperature</t>
  </si>
  <si>
    <t>Ambient temperature</t>
  </si>
  <si>
    <t>DIS_CHG temperature</t>
  </si>
  <si>
    <t>0350</t>
  </si>
  <si>
    <t>Special function switch address set</t>
  </si>
  <si>
    <r>
      <rPr>
        <i/>
        <sz val="10.5"/>
        <rFont val="宋体"/>
        <charset val="134"/>
      </rPr>
      <t>Factory reset function</t>
    </r>
    <r>
      <rPr>
        <i/>
        <sz val="10.5"/>
        <rFont val="Consolas"/>
        <charset val="134"/>
      </rPr>
      <t>0 H</t>
    </r>
  </si>
  <si>
    <t>BIT00: Enable SOC to switch to AC power BIT01: Enable SOC to switch to battery power BIT02: Enable SOC low-voltage shutdown BIT03: Dual-channel output with unlimited time BIT04: Automatic BMS ID search BIT05: BMS ID full sampling/oversampling BIT06: Reserved BIT07: Automatic backlight shutdown BIT08: Generator enabled</t>
  </si>
  <si>
    <t>Factory reset function available.</t>
  </si>
  <si>
    <t>BIT00: LCD timeout automatically restores default display page BIT01: Over-temperature restart BIT02: Overload restart BIT03: Overload bypass BIT04: Low power saving BIT05: Automatic AC frequency detection BIT06: Soft start of inverter after output relay closure BIT07: Battery open circuit warning BIT08: Enable equalization charging mode BIT09: Reserved BIT10: Feeder function enabled BIT11: Buzzer muted BIT12: Dual output function enabled BIT13: Default return to main interface settings BIT14: Warning of main input change BIT15: Automatic parallel ID search</t>
  </si>
  <si>
    <r>
      <rPr>
        <i/>
        <sz val="10.5"/>
        <rFont val="宋体"/>
        <charset val="134"/>
      </rPr>
      <t>Factory reset function</t>
    </r>
    <r>
      <rPr>
        <i/>
        <sz val="10.5"/>
        <rFont val="Consolas"/>
        <charset val="134"/>
      </rPr>
      <t>1 H</t>
    </r>
  </si>
  <si>
    <t>Reserved</t>
  </si>
  <si>
    <t>Factory reset function 1 L</t>
  </si>
  <si>
    <t>Factory reset function is not available.</t>
  </si>
  <si>
    <t>Unrestored factory settings function 1 L</t>
  </si>
  <si>
    <t>0360</t>
  </si>
  <si>
    <t>Time address set</t>
  </si>
  <si>
    <t>Year</t>
  </si>
  <si>
    <t>moon</t>
  </si>
  <si>
    <t>day</t>
  </si>
  <si>
    <t>hour</t>
  </si>
  <si>
    <t>point</t>
  </si>
  <si>
    <t>Second</t>
  </si>
  <si>
    <t>0400</t>
  </si>
  <si>
    <t>1000</t>
  </si>
  <si>
    <t>Settings &amp; Configuration</t>
  </si>
  <si>
    <t>Factory reset</t>
  </si>
  <si>
    <t>Write 1 to restore to customer customization</t>
  </si>
  <si>
    <t>Write 1 to clear customer customization</t>
  </si>
  <si>
    <t>Write 1 to clear calibration information</t>
  </si>
  <si>
    <t>SN number written</t>
  </si>
  <si>
    <t>Write 1 to remember the SN number</t>
  </si>
  <si>
    <t>User mode: 0x0000 Administrator mode: 0x0001</t>
  </si>
  <si>
    <t>Administrator account</t>
  </si>
  <si>
    <t>Without a default setting, users only have query and partial parameter setting permissions. Administrators can set calibration values (FCT requires administrator login). Administrator account: 0x0010 Administrator password: 0x1C1A</t>
  </si>
  <si>
    <t>Administrator password</t>
  </si>
  <si>
    <t>Authorization time</t>
  </si>
  <si>
    <t>s</t>
  </si>
  <si>
    <t>0xFFFF: Perpetual License</t>
  </si>
  <si>
    <t>100D</t>
  </si>
  <si>
    <t>100E</t>
  </si>
  <si>
    <t>100F</t>
  </si>
  <si>
    <t>101A</t>
  </si>
  <si>
    <t>101B</t>
  </si>
  <si>
    <t>101C</t>
  </si>
  <si>
    <t>101D</t>
  </si>
  <si>
    <t>101E</t>
  </si>
  <si>
    <t>101F</t>
  </si>
  <si>
    <t>102A</t>
  </si>
  <si>
    <t>102B</t>
  </si>
  <si>
    <t>102C</t>
  </si>
  <si>
    <t>102D</t>
  </si>
  <si>
    <t>102E</t>
  </si>
  <si>
    <t>FCT mode</t>
  </si>
  <si>
    <t>0: Non-test mode; 1: Driver test mode</t>
  </si>
  <si>
    <t>Drive enable</t>
  </si>
  <si>
    <t>Bit</t>
  </si>
  <si>
    <t>0x0000: Off; 0x0001: Discharge; 0x0002: Charge; 0x0004: PFC Driver; 0x0008: Inverter Driver; 0x0010: PV Driver; 0x0020: L-line Relay Driver; 0x0040: N-line Relay Driver; 0x0080: Output Relay Driver; 0x0100: Auxiliary Relay Driver; 0x0200: L-line SCR; 0x0400: Output SCR; 0x0800: Dry Contact 1; 0x1000: Dry Contact 2</t>
  </si>
  <si>
    <t>Discharge drive percentage</t>
  </si>
  <si>
    <t>Charging Drive Percentage</t>
  </si>
  <si>
    <t>Inverter drive percentage</t>
  </si>
  <si>
    <t>PV-driven percentage</t>
  </si>
  <si>
    <t>Relay status</t>
  </si>
  <si>
    <t>BIT0: BIT1: BIT2:</t>
  </si>
  <si>
    <t>SCR status</t>
  </si>
  <si>
    <t>Fan drive percentage</t>
  </si>
  <si>
    <t>dry contact switch</t>
  </si>
  <si>
    <t>Buzzer switch</t>
  </si>
  <si>
    <t>Factory testing accelerates the transition to charging state.</t>
  </si>
  <si>
    <t>0: Normal Mode; 1: Factory Test Mode, skips the battery disconnection detection process and accelerates the transition to AC charging.</t>
  </si>
  <si>
    <t>Button status</t>
  </si>
  <si>
    <t>BIT0: Up key triggered; BIT1: Down key triggered; BIT2: Confirm key triggered; BIT3: Back key triggered. This bit is reset to zero after 10 seconds from the first key press.</t>
  </si>
  <si>
    <t>Calibration Object Table</t>
  </si>
  <si>
    <t>1200</t>
  </si>
  <si>
    <t>Calibration information</t>
  </si>
  <si>
    <t>Decimal</t>
  </si>
  <si>
    <t>hexadecimal</t>
  </si>
  <si>
    <t>object name</t>
  </si>
  <si>
    <t>Unit of measurement</t>
  </si>
  <si>
    <t>Inverter reading address (H)</t>
  </si>
  <si>
    <t>object</t>
  </si>
  <si>
    <t>uint16</t>
  </si>
  <si>
    <t>0x0001</t>
  </si>
  <si>
    <t>Mains voltage</t>
  </si>
  <si>
    <t>Calibration method</t>
  </si>
  <si>
    <t>0: Single-point calibration; 1: Two-point calibration; 2: Factory reset.</t>
  </si>
  <si>
    <t>0x0002</t>
  </si>
  <si>
    <t>Mains current</t>
  </si>
  <si>
    <t>01B1</t>
  </si>
  <si>
    <t>External measurement value 1</t>
  </si>
  <si>
    <t>0x0003</t>
  </si>
  <si>
    <t>Mains power</t>
  </si>
  <si>
    <t>Internal measurement value 1</t>
  </si>
  <si>
    <t>0x0004</t>
  </si>
  <si>
    <t>Mains leakage current</t>
  </si>
  <si>
    <t>External measurement value 2</t>
  </si>
  <si>
    <t>0x0005</t>
  </si>
  <si>
    <t>generator voltage</t>
  </si>
  <si>
    <t>Internal measurement value 2</t>
  </si>
  <si>
    <t>0x0006</t>
  </si>
  <si>
    <t>Generator current</t>
  </si>
  <si>
    <t>0x0007</t>
  </si>
  <si>
    <t>generator power</t>
  </si>
  <si>
    <t>0x0008</t>
  </si>
  <si>
    <t>Inverter voltage</t>
  </si>
  <si>
    <t>02AA</t>
  </si>
  <si>
    <t>Time calibration enabled</t>
  </si>
  <si>
    <t>0: Waiting/Completed 1: Calibration 2: Reset</t>
  </si>
  <si>
    <t>0x0009</t>
  </si>
  <si>
    <t>Inverter DC component</t>
  </si>
  <si>
    <t>02AD</t>
  </si>
  <si>
    <t>Annual calibration</t>
  </si>
  <si>
    <t>0x000A</t>
  </si>
  <si>
    <t>Inverter current</t>
  </si>
  <si>
    <t>02AC</t>
  </si>
  <si>
    <t>Monthly calibration</t>
  </si>
  <si>
    <t>0x000B</t>
  </si>
  <si>
    <t>Inverter small current</t>
  </si>
  <si>
    <t>Weekly calibration</t>
  </si>
  <si>
    <t>0x000C</t>
  </si>
  <si>
    <t>Low power inverter</t>
  </si>
  <si>
    <t>Daily Calibration</t>
  </si>
  <si>
    <t>0x000D</t>
  </si>
  <si>
    <t>Inverter power</t>
  </si>
  <si>
    <t>Time calibration</t>
  </si>
  <si>
    <t>0x000E</t>
  </si>
  <si>
    <t>Output voltage</t>
  </si>
  <si>
    <t>0218</t>
  </si>
  <si>
    <t>Partial calibration</t>
  </si>
  <si>
    <t>0x000F</t>
  </si>
  <si>
    <t>Output current</t>
  </si>
  <si>
    <t>021A</t>
  </si>
  <si>
    <t>Second calibration</t>
  </si>
  <si>
    <t>0x0010</t>
  </si>
  <si>
    <t>Output power</t>
  </si>
  <si>
    <t>021D</t>
  </si>
  <si>
    <t>0x0011</t>
  </si>
  <si>
    <t>0270</t>
  </si>
  <si>
    <t>0x0012</t>
  </si>
  <si>
    <t>0271</t>
  </si>
  <si>
    <t>0x0013</t>
  </si>
  <si>
    <t>0272</t>
  </si>
  <si>
    <t>0x0014</t>
  </si>
  <si>
    <t>0x0015</t>
  </si>
  <si>
    <t>0x0016</t>
  </si>
  <si>
    <t>0x0017</t>
  </si>
  <si>
    <t>bus voltage</t>
  </si>
  <si>
    <t>0x0018</t>
  </si>
  <si>
    <t>Battery voltage</t>
  </si>
  <si>
    <t>0155</t>
  </si>
  <si>
    <t>0x0019</t>
  </si>
  <si>
    <t>Battery current</t>
  </si>
  <si>
    <t>0157</t>
  </si>
  <si>
    <t>0x001A</t>
  </si>
  <si>
    <t>23767</t>
  </si>
  <si>
    <t>0x7FFF</t>
  </si>
  <si>
    <t>Select all (to clear calibration)</t>
  </si>
  <si>
    <t>2000</t>
  </si>
  <si>
    <t>Generator status debugging address set</t>
  </si>
  <si>
    <t>4000</t>
  </si>
  <si>
    <t>Upgrade commands and data</t>
  </si>
  <si>
    <t>Upgrade command code</t>
  </si>
  <si>
    <t>Command Type / Bit0-Bit7 Software Type / Bit8-Bit15 Command Type: ID Value Description 0x00 Activation command, used to instruct BOOT to jump to APP after loading is complete. 0x01 Jump command, used to instruct APP to jump to BOOT at the start of loading. 0x02 Erase command, used to instruct FLASH to be erased during loading. 0x20 Use default communication baud rate (i.e., no setting required). 0x21 Set communication baud rate to 9600bps. 0x22 Set communication baud rate to 38400bps. 0x23 Set communication baud rate to 115200bps. 0x24 Set communication baud rate to 312500bps. Software Type: ID Value Description 0x00 EMS upgrade software code. 0x01 PCS upgrade software code. 0x02 BMS upgrade software code. 0x03 MCU upgrade software code. 0x10 EMS upgrade boot code (reserved). 0x11 PCS upgrade boot code (reserved). 0x12 Upgrade BMS boot code (reserved) 0x13 Upgrade MCU boot code (reserved)</t>
  </si>
  <si>
    <t>Upgrade data</t>
  </si>
  <si>
    <t>Upgrade data must be 32-bit aligned! Otherwise, writing to Flash will result in an error.</t>
  </si>
  <si>
    <t>Upgrade status</t>
  </si>
  <si>
    <t>Bit0-Bit3 EMS Upgrade Status; Bit4-Bit7 PCS Upgrade Status; Bit8-Bit11 BMS Upgrade Status (Reserved); Bit12-Bit15 MCU Upgrade Status (Reserved); 0x00 Operation Successful; 0x01 FLASH Write Failed; 0x02 FLASH Write Error, i.e., the written content is inconsistent with the read content; 0x03 FLASH Erase Failed; 0x04 Unsupported Software, i.e., hardware and software incompatibility; 0x05 Software ID Error; 0x06 Received Frame Length Inconsistent with the Frame Length Specified in the Software Header; 0x07 Software Body Length Error; Total Number of Frames Received Exceeds the Maximum Allowed Number of Frames in the App Area.</t>
  </si>
  <si>
    <t>Running status</t>
  </si>
  <si>
    <t>Bit0-Bit3 EMS running status; Bit4-Bit7 PCS running status; Bit8-Bit11 BMS running status (reserved); Bit12-Bit15 MCU running status (reserved). ID value description: 0x00 Running in APP area; 0x01 Running in BOOT area; 0x02 Upgrading in progress; 0x03 Upgrade failed.</t>
  </si>
  <si>
    <t>Host computer settings for burning status</t>
  </si>
  <si>
    <t>0x00: Idle; 0x01: Burning in progress; 0x02: Burning completed.</t>
  </si>
  <si>
    <t>Equipment type in this package</t>
  </si>
  <si>
    <t>BIT0:PCS BIT1:EMS BIT2:BMS BIT3:COM</t>
  </si>
  <si>
    <t>Programmable type</t>
  </si>
  <si>
    <t>model</t>
  </si>
  <si>
    <t>0x00:NULL 0x01:3K 0x02:5K 0x03:6K 0x04:11K</t>
  </si>
  <si>
    <t>Software type</t>
  </si>
  <si>
    <t>0x00: ERROR 0x01: APP 0x02: BOOT</t>
  </si>
  <si>
    <t>Erasure time</t>
  </si>
  <si>
    <t>unit ms</t>
  </si>
  <si>
    <t>Version number _H</t>
  </si>
  <si>
    <t>Version number _L</t>
  </si>
  <si>
    <t>Footprint_A</t>
  </si>
  <si>
    <t>Footprint_B</t>
  </si>
  <si>
    <t>Footprint_C</t>
  </si>
  <si>
    <t>Footprint_D</t>
  </si>
  <si>
    <t>Burn package length_H</t>
  </si>
  <si>
    <t>Burn package length_L</t>
  </si>
  <si>
    <t>4100</t>
  </si>
  <si>
    <t>User Settings</t>
  </si>
  <si>
    <t>Note: This setting field can only be set with one parameter at a time. The host computer must ensure the accuracy of the data range set; otherwise, system malfunctions may occur. The interval between two settings should be greater than 500ms. The default display is -1/65535, indicating whether the setting was successful or not. After a successful write, a readback showing -1/65535 indicates a successful setting.</t>
  </si>
  <si>
    <t>0:208V 1:220V 2:230V 3:240V</t>
  </si>
  <si>
    <t>Output frequency</t>
  </si>
  <si>
    <t>0:50Hz 1:60Hz</t>
  </si>
  <si>
    <t>0:APP 1:UPS</t>
  </si>
  <si>
    <t>0:PNG 1:OPV 2:PVF</t>
  </si>
  <si>
    <t>AC charging current</t>
  </si>
  <si>
    <t>1A</t>
  </si>
  <si>
    <t>2-120A continuously adjustable [VMH6KU only supports 0x02:2A, 0x0A:10A, 0x14:20A, 0x1E:30A, 0x28:40A, 0x32:50A, 0x3C:60A, 0x46:70A, 0x50:80A, 0x5A:90A, 0x64:100A, 0x6E:110A, 0x78:120A]</t>
  </si>
  <si>
    <t>0:2A 1:10A 2:20A 3:30A 4:40A 5:50A 6:60A 7:70A 8:80A 9:90A 10:100A 11:110A 12:120A</t>
  </si>
  <si>
    <t>0: Lead-acid battery; 1: Water-filled battery; 2: Ternary lithium battery; 3: Lithium iron phosphate battery; 4: User-defined battery.</t>
  </si>
  <si>
    <t>Battery low voltage point</t>
  </si>
  <si>
    <t>Lead-acid/Water-filled: 44V; Non-adjustable Ternary Lithium/Lithium Iron: 41.2V-50V; Customizable: 42V - 54V</t>
  </si>
  <si>
    <t>Battery low voltage point (battery shutdown point)</t>
  </si>
  <si>
    <t>Lead-acid/Water-filled: 42V Non-adjustable ternary lithium/lithium iron phosphate/Custom: 40V-48V</t>
  </si>
  <si>
    <t>constant pressure point</t>
  </si>
  <si>
    <t>Lead-acid: 56.4V; Non-adjustable water-filled: 58V; Non-adjustable ternary lithium/lithium iron phosphate/custom: 48V-60V</t>
  </si>
  <si>
    <t>float point</t>
  </si>
  <si>
    <t>Lead-acid/Water-filled: 54V; Non-adjustable Ternary Lithium/Lithium Iron: 50V-58V; Customizable: 48V-60V</t>
  </si>
  <si>
    <t>Battery to AC voltage point</t>
  </si>
  <si>
    <t>Lead-acid/Water-filled: 44V - 52V; Ternary lithium/Lithium iron phosphate/Custom: 40V-50V</t>
  </si>
  <si>
    <t>Return to battery mode voltage point</t>
  </si>
  <si>
    <t>Lead-acid/Water-filled: 48V - 58V; Ternary lithium/Lithium iron phosphate/Custom: 46V-58V</t>
  </si>
  <si>
    <t>Low voltage point of mains power</t>
  </si>
  <si>
    <t>1V</t>
  </si>
  <si>
    <t>APP: 90V-154V UPS: 170V-200V</t>
  </si>
  <si>
    <t>High voltage point of mains power</t>
  </si>
  <si>
    <t>APP: 264V-280V UPS: 264V</t>
  </si>
  <si>
    <t>0: Single-phase mode; 1: Single-phase parallel mode; 2: Three-phase parallel mode (phase A); 3: Three-phase parallel mode (phase B); 4: Three-phase parallel mode (phase C).</t>
  </si>
  <si>
    <t>Parallel serial number</t>
  </si>
  <si>
    <t>0-14</t>
  </si>
  <si>
    <t>Enable equalization mode for charging</t>
  </si>
  <si>
    <t>0:OFF 1:ON</t>
  </si>
  <si>
    <t>Equalization voltage point</t>
  </si>
  <si>
    <t>48V-60V</t>
  </si>
  <si>
    <t>1min</t>
  </si>
  <si>
    <t>5-900 step size 5</t>
  </si>
  <si>
    <t>Equalization delay time</t>
  </si>
  <si>
    <t>Equalization interval time</t>
  </si>
  <si>
    <t>1-90</t>
  </si>
  <si>
    <t>Enable Balance Now</t>
  </si>
  <si>
    <t>Dual-channel output cutoff voltage</t>
  </si>
  <si>
    <t>440-600: 44V-60V</t>
  </si>
  <si>
    <t>Dual-channel output time</t>
  </si>
  <si>
    <t>5-900: 5min-900min 0xFFF1: Dual output disabled 0xFFF2: Dual output unlimited time</t>
  </si>
  <si>
    <t>Generator enable</t>
  </si>
  <si>
    <t>Generator rated power</t>
  </si>
  <si>
    <t>0.1KW</t>
  </si>
  <si>
    <t>0-65:0-6.5KW</t>
  </si>
  <si>
    <t>Generator maximum power</t>
  </si>
  <si>
    <t>Generator alarm clearing</t>
  </si>
  <si>
    <t>BMS Protocol Selection</t>
  </si>
  <si>
    <t>0: Disable BMS function; 1: CVTE protocol; 2: Growatt protocol; 3: Sun &amp; Moon protocol; 4: Power protocol; 5: Tower protocol; 6: Peicheng protocol.</t>
  </si>
  <si>
    <t>BMS ID Selection</t>
  </si>
  <si>
    <t>0-15 0xFFF1: ID self-search</t>
  </si>
  <si>
    <t>Low SOC shutdown SOC settings</t>
  </si>
  <si>
    <t>5-50 0xFFF1: Low SOC shutdown function for disabled users</t>
  </si>
  <si>
    <t>Battery SOC settings</t>
  </si>
  <si>
    <t>10-90 0xFFF1: Power-off SOC to Battery Function</t>
  </si>
  <si>
    <t>SOC settings for switching to AC power</t>
  </si>
  <si>
    <t>10-100 0xFFF1: Disabled SOC to AC power function</t>
  </si>
  <si>
    <t>Remote power on/off enable</t>
  </si>
  <si>
    <t>0: Disable remote control; 1: Enable remote control and power on; 2: Enable remote control and power off.</t>
  </si>
  <si>
    <t>Turn off charging</t>
  </si>
  <si>
    <t>Self-extinguishing backlight</t>
  </si>
  <si>
    <t>Overheating restart</t>
  </si>
  <si>
    <t>Overload restart</t>
  </si>
  <si>
    <t>Overload bypass</t>
  </si>
  <si>
    <t>Low power consumption and energy saving</t>
  </si>
  <si>
    <t>Automatic detection of mains frequency</t>
  </si>
  <si>
    <t>After the output relay is closed, the inverter soft starter is activated.</t>
  </si>
  <si>
    <t>Battery open circuit warning</t>
  </si>
  <si>
    <t>Feeder Function Enable</t>
  </si>
  <si>
    <t>0: OFF 1: INT internal sampling grid connection 2: CT external current transformer sampling grid connection 3: MET external meter communication grid connection</t>
  </si>
  <si>
    <t>Feeder power</t>
  </si>
  <si>
    <t>Buzzer muted</t>
  </si>
  <si>
    <t>Default return to main interface settings</t>
  </si>
  <si>
    <t>Warning of main input change</t>
  </si>
  <si>
    <t>Restore default settings</t>
  </si>
  <si>
    <t>Seconds setting</t>
  </si>
  <si>
    <t>1 sec</t>
  </si>
  <si>
    <t>0-59</t>
  </si>
  <si>
    <t>1 hour</t>
  </si>
  <si>
    <t>0-23</t>
  </si>
  <si>
    <t>0-31</t>
  </si>
  <si>
    <t>0-12</t>
  </si>
  <si>
    <t>0-99</t>
  </si>
  <si>
    <t>Power Supply 1</t>
  </si>
  <si>
    <t>H</t>
  </si>
  <si>
    <t>Selling electricity 1</t>
  </si>
  <si>
    <t>Power Supply 2</t>
  </si>
  <si>
    <t>Selling Electricity 2</t>
  </si>
  <si>
    <t>Power on</t>
  </si>
  <si>
    <t>Power off</t>
  </si>
  <si>
    <t>Model Configuration</t>
  </si>
  <si>
    <t>0: Automatic recognition (effective after next power-on) 1: Low-end model 2: Mid-range model 3: High-end model</t>
  </si>
  <si>
    <t>Screen type</t>
  </si>
  <si>
    <t>0: TRB8131 1: B00346 2: CNKD0601/CNKD0602</t>
  </si>
  <si>
    <t>A</t>
  </si>
  <si>
    <t>0-30:10-160A (step size 5A) 0xFFF1: OFF [Effective for VMH5KU/VMH6KU and VML1K2; VMH5KU supports up to 160A, VMH6KU supports up to 140A, VML1K2 supports up to 120A]</t>
  </si>
  <si>
    <t>Wi-Fi connection status</t>
  </si>
  <si>
    <t>The following settings are used for the Wi-Fi module: 1: Wi-Fi not connected to a hotspot; 2: Wi-Fi connecting to a hotspot; 3: Wi-Fi already connected to a hotspot; 4: Wi-Fi already connected to a cloud server; 0xFF: Disable this flag.</t>
  </si>
  <si>
    <t>Automatic switching of feeder power time 1</t>
  </si>
  <si>
    <t>Automatic switching of feeder power time 2</t>
  </si>
  <si>
    <r>
      <rPr>
        <sz val="10.5"/>
        <rFont val="宋体"/>
        <charset val="134"/>
      </rPr>
      <t>Automatic switching of feeder power</t>
    </r>
    <r>
      <rPr>
        <sz val="10.5"/>
        <rFont val="Times New Roman"/>
        <charset val="134"/>
      </rPr>
      <t>1</t>
    </r>
  </si>
  <si>
    <t>Automatic switching of feeder power 2</t>
  </si>
  <si>
    <t>Set the fan speed to 100 before shutting down.</t>
  </si>
  <si>
    <t>0: Normal operation 1: Set the fan speed to 100 before shutdown to address the issue of low-power fans not being able to shut down properly on our board [Only effective for VML1K2]</t>
  </si>
  <si>
    <t>Set the reference value for inverter current when the output power is less than 50W.</t>
  </si>
  <si>
    <t>The default value is 26, and the setting range is 0-200. [Effective on VMH5KU/VMH6KU]</t>
  </si>
  <si>
    <t>414A</t>
  </si>
  <si>
    <t>Set button reverse</t>
  </si>
  <si>
    <t>0: Down arrow key increments the page number; 1: Down arrow key decrements the page number. [Available in VMH5KU/VMH6KU]</t>
  </si>
  <si>
    <t>414B</t>
  </si>
  <si>
    <t>Set dual-output cutoff SOC</t>
  </si>
  <si>
    <t>5-90: Dual output cutoff SOC 0xFFF1: Disable this function [Affected on VMH5KU/VMH6KU]</t>
  </si>
  <si>
    <t>414C</t>
  </si>
  <si>
    <t>Do not let the power go out</t>
  </si>
  <si>
    <t>0: Invalid; 1: Disabled. Even if the machine is in a power-off state after setting a timeout, it will not enter shutdown mode. The power-off flag is reset 1 minute after each timeout, and the counter is reset each time a timeout is performed.</t>
  </si>
  <si>
    <t>21</t>
  </si>
  <si>
    <t>22</t>
  </si>
  <si>
    <t>23</t>
  </si>
  <si>
    <t>24</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</si>
</sst>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Calibri"/>
      <charset val="134"/>
      <scheme val="minor"/>
    </font>
    <font>
      <sz val="10.5"/>
      <name val="宋体"/>
      <charset val="134"/>
    </font>
    <font>
      <sz val="11"/>
      <name val="Calibri"/>
      <charset val="134"/>
      <scheme val="minor"/>
    </font>
    <font>
      <sz val="12"/>
      <color theme="1"/>
      <name val="Calibri"/>
      <charset val="134"/>
      <scheme val="minor"/>
    </font>
    <font>
      <i/>
      <sz val="10.5"/>
      <name val="宋体"/>
      <charset val="134"/>
    </font>
    <font>
      <sz val="10"/>
      <color theme="1"/>
      <name val="Calibri"/>
      <charset val="134"/>
      <scheme val="minor"/>
    </font>
    <font>
      <sz val="10"/>
      <name val="宋体"/>
      <charset val="134"/>
    </font>
    <font>
      <sz val="10"/>
      <name val="Times New Roman"/>
      <charset val="134"/>
    </font>
    <font>
      <sz val="10"/>
      <color rgb="FF172B4D"/>
      <name val="等线"/>
      <charset val="134"/>
    </font>
    <font>
      <sz val="10"/>
      <color rgb="FF0052CC"/>
      <name val="等线"/>
      <charset val="134"/>
    </font>
    <font>
      <sz val="10"/>
      <name val="Calibri"/>
      <charset val="134"/>
      <scheme val="minor"/>
    </font>
    <font>
      <sz val="10"/>
      <name val="等线"/>
      <charset val="134"/>
    </font>
    <font>
      <i/>
      <sz val="10.5"/>
      <name val="Consolas"/>
      <charset val="134"/>
    </font>
    <font>
      <sz val="10.5"/>
      <name val="Times New Roman"/>
      <charset val="134"/>
    </font>
  </fonts>
  <fills count="13">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000000"/>
      </left>
      <right style="dotted">
        <color auto="1"/>
      </right>
      <top style="medium">
        <color rgb="FF000000"/>
      </top>
      <bottom style="medium">
        <color rgb="FF000000"/>
      </bottom>
      <diagonal/>
    </border>
    <border>
      <left/>
      <right style="dotted">
        <color auto="1"/>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lignment vertical="center"/>
    </xf>
  </cellStyleXfs>
  <cellXfs count="119">
    <xf numFmtId="0" fontId="0" fillId="0" borderId="0" xfId="0">
      <alignment vertical="center"/>
    </xf>
    <xf numFmtId="49" fontId="0" fillId="0" borderId="0" xfId="0" applyNumberFormat="1" applyFill="1" applyAlignment="1">
      <alignment horizontal="center" vertical="center"/>
    </xf>
    <xf numFmtId="0" fontId="0" fillId="0" borderId="0" xfId="0" applyFill="1" applyAlignment="1">
      <alignment horizontal="left" vertical="center"/>
    </xf>
    <xf numFmtId="0" fontId="0" fillId="0" borderId="0" xfId="0" applyFill="1">
      <alignment vertical="center"/>
    </xf>
    <xf numFmtId="0" fontId="0" fillId="0" borderId="0" xfId="0" applyFill="1" applyAlignment="1">
      <alignment horizontal="center" vertical="center"/>
    </xf>
    <xf numFmtId="49" fontId="0" fillId="0" borderId="0" xfId="0" applyNumberFormat="1" applyFill="1">
      <alignment vertical="center"/>
    </xf>
    <xf numFmtId="49"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49" fontId="0" fillId="0" borderId="0" xfId="0" applyNumberFormat="1" applyFill="1" applyAlignment="1">
      <alignment horizontal="left" vertical="center"/>
    </xf>
    <xf numFmtId="49" fontId="0" fillId="0" borderId="0" xfId="0" applyNumberFormat="1" applyFill="1" applyBorder="1" applyAlignment="1">
      <alignment horizontal="left" vertical="center"/>
    </xf>
    <xf numFmtId="0" fontId="0" fillId="0" borderId="0" xfId="0" applyFill="1" applyBorder="1" applyAlignment="1">
      <alignment horizontal="left" vertical="center"/>
    </xf>
    <xf numFmtId="9" fontId="0" fillId="0" borderId="0" xfId="0" applyNumberFormat="1" applyFill="1" applyBorder="1" applyAlignment="1">
      <alignment horizontal="center" vertical="center"/>
    </xf>
    <xf numFmtId="49" fontId="0" fillId="0" borderId="0" xfId="0" applyNumberFormat="1" applyFill="1" applyBorder="1" applyAlignment="1">
      <alignment horizontal="left" vertical="center" wrapText="1"/>
    </xf>
    <xf numFmtId="49" fontId="0" fillId="0" borderId="0" xfId="0" applyNumberFormat="1" applyFill="1" applyBorder="1" applyAlignment="1">
      <alignment vertical="center" wrapText="1"/>
    </xf>
    <xf numFmtId="0" fontId="0" fillId="0" borderId="0" xfId="0" applyFill="1" applyBorder="1" applyAlignment="1">
      <alignment horizontal="left" vertical="center" wrapText="1"/>
    </xf>
    <xf numFmtId="0" fontId="0" fillId="0" borderId="0" xfId="0" applyFill="1" applyBorder="1">
      <alignment vertical="center"/>
    </xf>
    <xf numFmtId="0" fontId="0" fillId="0" borderId="0" xfId="0" applyFill="1" applyBorder="1" applyAlignment="1">
      <alignment vertical="center" wrapText="1"/>
    </xf>
    <xf numFmtId="0" fontId="0" fillId="0" borderId="0" xfId="0" applyFill="1" applyAlignment="1">
      <alignment horizontal="center" vertical="center" wrapText="1"/>
    </xf>
    <xf numFmtId="0" fontId="1" fillId="0" borderId="0" xfId="0" applyFont="1" applyFill="1" applyAlignment="1">
      <alignment horizontal="justify" vertical="center"/>
    </xf>
    <xf numFmtId="0" fontId="0" fillId="0" borderId="0" xfId="0" applyFill="1" applyAlignment="1">
      <alignment horizontal="left" vertical="center" wrapText="1"/>
    </xf>
    <xf numFmtId="0" fontId="0" fillId="0" borderId="0" xfId="0" applyFill="1"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2" fillId="0" borderId="0" xfId="0" applyNumberFormat="1" applyFont="1" applyAlignment="1">
      <alignment vertical="center"/>
    </xf>
    <xf numFmtId="0" fontId="0" fillId="0" borderId="0" xfId="0" applyFill="1" applyBorder="1" applyAlignment="1">
      <alignment vertical="center"/>
    </xf>
    <xf numFmtId="0" fontId="0" fillId="0" borderId="0" xfId="0" applyAlignment="1">
      <alignment horizontal="left" vertical="center"/>
    </xf>
    <xf numFmtId="0" fontId="0" fillId="0" borderId="0" xfId="0" applyAlignment="1">
      <alignment vertical="center" wrapText="1"/>
    </xf>
    <xf numFmtId="0" fontId="3" fillId="0" borderId="0" xfId="0" applyFont="1">
      <alignment vertical="center"/>
    </xf>
    <xf numFmtId="49" fontId="0" fillId="0" borderId="0" xfId="0" applyNumberFormat="1">
      <alignment vertical="center"/>
    </xf>
    <xf numFmtId="49" fontId="0" fillId="0" borderId="0" xfId="0" applyNumberFormat="1" applyFill="1" applyBorder="1">
      <alignment vertical="center"/>
    </xf>
    <xf numFmtId="49" fontId="0" fillId="3" borderId="1" xfId="0" applyNumberFormat="1" applyFill="1" applyBorder="1" applyAlignment="1">
      <alignment horizontal="center" vertical="center"/>
    </xf>
    <xf numFmtId="0" fontId="0" fillId="2" borderId="1" xfId="0" applyFill="1" applyBorder="1" applyAlignment="1">
      <alignment horizontal="center" vertical="center"/>
    </xf>
    <xf numFmtId="49" fontId="0" fillId="3" borderId="1" xfId="0" applyNumberFormat="1" applyFill="1" applyBorder="1" applyAlignment="1">
      <alignment vertical="center"/>
    </xf>
    <xf numFmtId="49" fontId="0" fillId="0" borderId="1" xfId="0" applyNumberFormat="1" applyFill="1" applyBorder="1" applyAlignment="1">
      <alignment horizontal="center" vertical="center"/>
    </xf>
    <xf numFmtId="49" fontId="0" fillId="0" borderId="1" xfId="0" applyNumberFormat="1" applyFill="1" applyBorder="1" applyAlignment="1">
      <alignment vertical="center"/>
    </xf>
    <xf numFmtId="0" fontId="0" fillId="0" borderId="1" xfId="0" applyFill="1" applyBorder="1" applyAlignment="1">
      <alignment horizontal="center" vertical="center"/>
    </xf>
    <xf numFmtId="49" fontId="3" fillId="0" borderId="0" xfId="0" applyNumberFormat="1" applyFont="1" applyAlignment="1">
      <alignment horizontal="center" vertical="center"/>
    </xf>
    <xf numFmtId="49" fontId="3" fillId="0" borderId="0" xfId="0" applyNumberFormat="1" applyFont="1">
      <alignment vertical="center"/>
    </xf>
    <xf numFmtId="0" fontId="3" fillId="0" borderId="0" xfId="0" applyFont="1" applyAlignment="1">
      <alignment horizontal="center" vertical="center"/>
    </xf>
    <xf numFmtId="10" fontId="0" fillId="0" borderId="0" xfId="0" applyNumberFormat="1" applyFill="1"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xf>
    <xf numFmtId="0" fontId="0" fillId="4" borderId="0" xfId="0" applyFill="1" applyAlignment="1">
      <alignment horizontal="left" vertical="center"/>
    </xf>
    <xf numFmtId="0" fontId="0" fillId="0" borderId="0" xfId="0" applyAlignment="1">
      <alignment horizontal="left" vertical="center" wrapText="1"/>
    </xf>
    <xf numFmtId="0" fontId="0" fillId="4" borderId="0" xfId="0" applyFill="1" applyAlignment="1">
      <alignment horizontal="left" vertical="center" wrapText="1"/>
    </xf>
    <xf numFmtId="0" fontId="4" fillId="0" borderId="0" xfId="0" applyFont="1" applyAlignment="1">
      <alignment vertical="center" wrapText="1"/>
    </xf>
    <xf numFmtId="0" fontId="2" fillId="0" borderId="0" xfId="0" applyFont="1" applyFill="1">
      <alignment vertical="center"/>
    </xf>
    <xf numFmtId="49" fontId="2" fillId="0" borderId="0" xfId="0" applyNumberFormat="1" applyFont="1" applyFill="1" applyAlignment="1">
      <alignment horizontal="center" vertical="center"/>
    </xf>
    <xf numFmtId="0" fontId="2" fillId="0" borderId="0" xfId="0" applyFont="1" applyFill="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center" vertical="center"/>
    </xf>
    <xf numFmtId="49" fontId="2" fillId="0" borderId="0" xfId="0" applyNumberFormat="1" applyFont="1" applyFill="1" applyAlignment="1">
      <alignment horizontal="left" vertical="center" wrapText="1"/>
    </xf>
    <xf numFmtId="49" fontId="0" fillId="0" borderId="0" xfId="0" applyNumberFormat="1" applyFill="1" applyAlignment="1">
      <alignment horizontal="left" vertical="center" wrapText="1"/>
    </xf>
    <xf numFmtId="0" fontId="2" fillId="0" borderId="0" xfId="0" applyFont="1">
      <alignment vertical="center"/>
    </xf>
    <xf numFmtId="0" fontId="0" fillId="4" borderId="0" xfId="0" applyFill="1">
      <alignment vertical="center"/>
    </xf>
    <xf numFmtId="49" fontId="2" fillId="0" borderId="0" xfId="0" applyNumberFormat="1" applyFont="1" applyFill="1" applyAlignment="1">
      <alignment horizontal="left" vertical="center"/>
    </xf>
    <xf numFmtId="49" fontId="0" fillId="4" borderId="0" xfId="0" applyNumberFormat="1" applyFill="1" applyAlignment="1">
      <alignment horizontal="center" vertical="center"/>
    </xf>
    <xf numFmtId="49" fontId="0" fillId="4" borderId="0" xfId="0" applyNumberFormat="1" applyFill="1" applyAlignment="1">
      <alignment horizontal="left" vertical="center" wrapText="1"/>
    </xf>
    <xf numFmtId="0" fontId="0" fillId="4" borderId="0" xfId="0" applyFill="1" applyAlignment="1">
      <alignment vertical="center" wrapText="1"/>
    </xf>
    <xf numFmtId="0" fontId="2" fillId="0" borderId="0" xfId="0" applyFont="1" applyFill="1" applyAlignment="1">
      <alignment vertical="center" wrapText="1"/>
    </xf>
    <xf numFmtId="49" fontId="5" fillId="0" borderId="0" xfId="0" applyNumberFormat="1" applyFont="1" applyAlignment="1">
      <alignment horizontal="center" vertical="center"/>
    </xf>
    <xf numFmtId="49" fontId="6" fillId="5" borderId="2" xfId="0" applyNumberFormat="1" applyFont="1" applyFill="1" applyBorder="1" applyAlignment="1">
      <alignment horizontal="center" vertical="center" wrapText="1"/>
    </xf>
    <xf numFmtId="49" fontId="7" fillId="5" borderId="3" xfId="0" applyNumberFormat="1" applyFont="1" applyFill="1" applyBorder="1" applyAlignment="1">
      <alignment horizontal="center" vertical="center" wrapText="1"/>
    </xf>
    <xf numFmtId="49" fontId="6" fillId="6" borderId="4" xfId="0" applyNumberFormat="1" applyFont="1" applyFill="1" applyBorder="1" applyAlignment="1">
      <alignment horizontal="center" vertical="center" wrapText="1"/>
    </xf>
    <xf numFmtId="49" fontId="6" fillId="6" borderId="5" xfId="0" applyNumberFormat="1" applyFont="1" applyFill="1" applyBorder="1" applyAlignment="1">
      <alignment horizontal="center" vertical="center" wrapText="1"/>
    </xf>
    <xf numFmtId="49" fontId="7" fillId="6" borderId="6" xfId="0" applyNumberFormat="1" applyFont="1" applyFill="1" applyBorder="1" applyAlignment="1">
      <alignment horizontal="center" vertical="center" wrapText="1"/>
    </xf>
    <xf numFmtId="49" fontId="6" fillId="7" borderId="7" xfId="0" applyNumberFormat="1" applyFont="1" applyFill="1" applyBorder="1" applyAlignment="1">
      <alignment horizontal="center" vertical="center" wrapText="1"/>
    </xf>
    <xf numFmtId="49" fontId="6" fillId="7" borderId="8" xfId="0" applyNumberFormat="1" applyFont="1" applyFill="1" applyBorder="1" applyAlignment="1">
      <alignment horizontal="center" vertical="center" wrapText="1"/>
    </xf>
    <xf numFmtId="49" fontId="6" fillId="7" borderId="9"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9" borderId="1" xfId="0" applyFont="1" applyFill="1" applyBorder="1" applyAlignment="1">
      <alignment horizontal="center" vertical="top" wrapText="1"/>
    </xf>
    <xf numFmtId="0" fontId="9" fillId="9" borderId="1" xfId="0" applyFont="1" applyFill="1" applyBorder="1" applyAlignment="1">
      <alignment horizontal="center" vertical="top" wrapText="1"/>
    </xf>
    <xf numFmtId="49" fontId="6" fillId="10" borderId="1" xfId="0" applyNumberFormat="1" applyFont="1" applyFill="1" applyBorder="1" applyAlignment="1">
      <alignment horizontal="center" vertical="center" wrapText="1"/>
    </xf>
    <xf numFmtId="49" fontId="7" fillId="10"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49" fontId="11" fillId="2" borderId="1" xfId="0" applyNumberFormat="1" applyFont="1" applyFill="1" applyBorder="1" applyAlignment="1">
      <alignment horizontal="center" vertical="center" wrapText="1"/>
    </xf>
    <xf numFmtId="49" fontId="10" fillId="0" borderId="0" xfId="0" applyNumberFormat="1" applyFont="1" applyAlignment="1">
      <alignment horizontal="center" vertical="center"/>
    </xf>
    <xf numFmtId="0" fontId="11" fillId="2" borderId="1" xfId="0" applyFont="1" applyFill="1" applyBorder="1" applyAlignment="1">
      <alignment horizontal="center" vertical="center" wrapText="1"/>
    </xf>
    <xf numFmtId="49" fontId="10" fillId="0" borderId="0" xfId="0" applyNumberFormat="1" applyFont="1" applyAlignment="1">
      <alignment vertical="center"/>
    </xf>
    <xf numFmtId="0" fontId="10" fillId="0" borderId="0" xfId="0" applyFont="1" applyAlignment="1">
      <alignment horizontal="center" vertical="center"/>
    </xf>
    <xf numFmtId="49" fontId="6" fillId="11" borderId="1" xfId="0" applyNumberFormat="1" applyFont="1" applyFill="1" applyBorder="1" applyAlignment="1">
      <alignment horizontal="center" vertical="center" wrapText="1"/>
    </xf>
    <xf numFmtId="49" fontId="7" fillId="11" borderId="1" xfId="0" applyNumberFormat="1" applyFont="1" applyFill="1" applyBorder="1" applyAlignment="1">
      <alignment horizontal="center" vertical="center" wrapText="1"/>
    </xf>
    <xf numFmtId="49" fontId="10" fillId="12" borderId="1" xfId="0" applyNumberFormat="1" applyFont="1" applyFill="1" applyBorder="1" applyAlignment="1">
      <alignment horizontal="center" vertical="center"/>
    </xf>
    <xf numFmtId="49" fontId="11" fillId="12" borderId="1" xfId="0" applyNumberFormat="1" applyFont="1" applyFill="1" applyBorder="1" applyAlignment="1">
      <alignment horizontal="center" vertical="center" wrapText="1"/>
    </xf>
    <xf numFmtId="0" fontId="11" fillId="12" borderId="1" xfId="0" applyFont="1" applyFill="1" applyBorder="1" applyAlignment="1">
      <alignment horizontal="center" vertical="center" wrapText="1"/>
    </xf>
    <xf numFmtId="0" fontId="0" fillId="0" borderId="1" xfId="0" applyBorder="1" applyAlignment="1">
      <alignment horizontal="left" vertical="center"/>
    </xf>
    <xf numFmtId="14" fontId="0" fillId="0" borderId="1" xfId="0" applyNumberFormat="1" applyBorder="1" applyAlignment="1">
      <alignment horizontal="left" vertical="center"/>
    </xf>
    <xf numFmtId="0" fontId="0" fillId="0" borderId="1" xfId="0" applyBorder="1" applyAlignment="1">
      <alignment horizontal="left" vertical="center" wrapText="1"/>
    </xf>
    <xf numFmtId="0" fontId="0" fillId="0" borderId="1" xfId="0" applyFill="1" applyBorder="1" applyAlignment="1">
      <alignment horizontal="left" vertical="center"/>
    </xf>
    <xf numFmtId="14" fontId="0" fillId="0" borderId="1" xfId="0" applyNumberFormat="1" applyFill="1" applyBorder="1" applyAlignment="1">
      <alignment horizontal="left" vertical="center"/>
    </xf>
    <xf numFmtId="0" fontId="0" fillId="0" borderId="1" xfId="0" applyFill="1" applyBorder="1" applyAlignment="1">
      <alignment horizontal="left" vertical="center" wrapText="1"/>
    </xf>
    <xf numFmtId="49" fontId="7" fillId="5" borderId="3" xfId="0"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9" borderId="1" xfId="0" applyFont="1" applyFill="1" applyBorder="1" applyAlignment="1">
      <alignment horizontal="left" vertical="top" wrapText="1"/>
    </xf>
    <xf numFmtId="49" fontId="10" fillId="10" borderId="1" xfId="0" applyNumberFormat="1" applyFont="1" applyFill="1" applyBorder="1" applyAlignment="1">
      <alignment horizontal="center" vertical="center"/>
    </xf>
    <xf numFmtId="49" fontId="10" fillId="11" borderId="1" xfId="0" applyNumberFormat="1" applyFont="1" applyFill="1" applyBorder="1" applyAlignment="1">
      <alignment horizontal="center" vertical="center"/>
    </xf>
    <xf numFmtId="49" fontId="7" fillId="10" borderId="1" xfId="0" applyNumberFormat="1" applyFont="1" applyFill="1" applyBorder="1" applyAlignment="1">
      <alignment horizontal="center" vertical="center" wrapText="1"/>
    </xf>
    <xf numFmtId="49" fontId="7" fillId="11"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49" fontId="6" fillId="12" borderId="1" xfId="0" applyNumberFormat="1" applyFont="1" applyFill="1" applyBorder="1" applyAlignment="1">
      <alignment horizontal="center" vertical="center" wrapText="1"/>
    </xf>
    <xf numFmtId="49" fontId="10" fillId="12" borderId="1" xfId="0" applyNumberFormat="1" applyFont="1" applyFill="1" applyBorder="1" applyAlignment="1">
      <alignment horizontal="center" vertical="center" wrapText="1"/>
    </xf>
    <xf numFmtId="49" fontId="10" fillId="12" borderId="1" xfId="0" applyNumberFormat="1" applyFont="1" applyFill="1" applyBorder="1" applyAlignment="1">
      <alignment horizontal="center" vertical="center"/>
    </xf>
    <xf numFmtId="49" fontId="11" fillId="1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49" fontId="6" fillId="10" borderId="1" xfId="0" applyNumberFormat="1" applyFont="1" applyFill="1" applyBorder="1" applyAlignment="1">
      <alignment horizontal="center" vertical="center" wrapText="1"/>
    </xf>
    <xf numFmtId="49" fontId="6" fillId="11"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49" fontId="6" fillId="6" borderId="4" xfId="0" applyNumberFormat="1" applyFont="1" applyFill="1" applyBorder="1" applyAlignment="1">
      <alignment horizontal="center" vertical="center" wrapText="1"/>
    </xf>
    <xf numFmtId="49" fontId="6" fillId="6" borderId="2" xfId="0" applyNumberFormat="1" applyFont="1" applyFill="1" applyBorder="1" applyAlignment="1">
      <alignment horizontal="center" vertical="center" wrapText="1"/>
    </xf>
    <xf numFmtId="0" fontId="0" fillId="2" borderId="0" xfId="0" applyFill="1" applyAlignment="1">
      <alignment horizontal="center" vertical="center"/>
    </xf>
    <xf numFmtId="49" fontId="0" fillId="2" borderId="0" xfId="0" applyNumberFormat="1" applyFill="1" applyAlignment="1">
      <alignment horizontal="center" vertical="center"/>
    </xf>
  </cellXfs>
  <cellStyles count="1">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2"/>
  <sheetViews>
    <sheetView topLeftCell="A18" zoomScale="130" zoomScaleNormal="130" workbookViewId="0">
      <selection activeCell="D18" sqref="D18"/>
    </sheetView>
  </sheetViews>
  <sheetFormatPr defaultColWidth="14.42578125" defaultRowHeight="15"/>
  <cols>
    <col min="1" max="3" width="14.42578125" style="28" customWidth="1"/>
    <col min="4" max="4" width="31.7109375" style="28" customWidth="1"/>
    <col min="5" max="5" width="14.42578125" style="28" customWidth="1"/>
    <col min="6" max="16384" width="14.42578125" style="28"/>
  </cols>
  <sheetData>
    <row r="1" spans="1:4">
      <c r="A1" s="90" t="s">
        <v>0</v>
      </c>
      <c r="B1" s="90" t="s">
        <v>1</v>
      </c>
      <c r="C1" s="90" t="s">
        <v>2</v>
      </c>
      <c r="D1" s="90" t="s">
        <v>3</v>
      </c>
    </row>
    <row r="2" spans="1:4">
      <c r="A2" s="90" t="s">
        <v>4</v>
      </c>
      <c r="B2" s="90" t="s">
        <v>5</v>
      </c>
      <c r="C2" s="91">
        <v>45181</v>
      </c>
      <c r="D2" s="90" t="s">
        <v>6</v>
      </c>
    </row>
    <row r="3" spans="1:4">
      <c r="A3" s="90" t="s">
        <v>7</v>
      </c>
      <c r="B3" s="90" t="s">
        <v>5</v>
      </c>
      <c r="C3" s="91">
        <v>45233</v>
      </c>
      <c r="D3" s="90" t="s">
        <v>8</v>
      </c>
    </row>
    <row r="4" spans="1:4">
      <c r="A4" s="90" t="s">
        <v>9</v>
      </c>
      <c r="B4" s="90" t="s">
        <v>5</v>
      </c>
      <c r="C4" s="91">
        <v>45236</v>
      </c>
      <c r="D4" s="90" t="s">
        <v>10</v>
      </c>
    </row>
    <row r="5" spans="1:4">
      <c r="A5" s="90" t="s">
        <v>11</v>
      </c>
      <c r="B5" s="90" t="s">
        <v>12</v>
      </c>
      <c r="C5" s="91">
        <v>45260</v>
      </c>
      <c r="D5" s="90" t="s">
        <v>13</v>
      </c>
    </row>
    <row r="6" spans="1:4" ht="129" customHeight="1">
      <c r="A6" s="90" t="s">
        <v>14</v>
      </c>
      <c r="B6" s="90" t="s">
        <v>5</v>
      </c>
      <c r="C6" s="91">
        <v>45270</v>
      </c>
      <c r="D6" s="92" t="s">
        <v>15</v>
      </c>
    </row>
    <row r="7" spans="1:4" ht="45">
      <c r="A7" s="90" t="s">
        <v>16</v>
      </c>
      <c r="B7" s="90" t="s">
        <v>5</v>
      </c>
      <c r="C7" s="91">
        <v>45275</v>
      </c>
      <c r="D7" s="92" t="s">
        <v>17</v>
      </c>
    </row>
    <row r="8" spans="1:4" ht="135">
      <c r="A8" s="90" t="s">
        <v>18</v>
      </c>
      <c r="B8" s="90" t="s">
        <v>5</v>
      </c>
      <c r="C8" s="91">
        <v>45434</v>
      </c>
      <c r="D8" s="92" t="s">
        <v>19</v>
      </c>
    </row>
    <row r="9" spans="1:4" ht="195">
      <c r="A9" s="90" t="s">
        <v>20</v>
      </c>
      <c r="B9" s="90" t="s">
        <v>5</v>
      </c>
      <c r="C9" s="91">
        <v>45449</v>
      </c>
      <c r="D9" s="92" t="s">
        <v>21</v>
      </c>
    </row>
    <row r="10" spans="1:4" ht="60">
      <c r="A10" s="90" t="s">
        <v>22</v>
      </c>
      <c r="B10" s="90" t="s">
        <v>5</v>
      </c>
      <c r="C10" s="91">
        <v>45455</v>
      </c>
      <c r="D10" s="92" t="s">
        <v>23</v>
      </c>
    </row>
    <row r="11" spans="1:4" ht="234" customHeight="1">
      <c r="A11" s="93" t="s">
        <v>24</v>
      </c>
      <c r="B11" s="93" t="s">
        <v>5</v>
      </c>
      <c r="C11" s="94">
        <v>45476</v>
      </c>
      <c r="D11" s="95" t="s">
        <v>25</v>
      </c>
    </row>
    <row r="12" spans="1:4" ht="180">
      <c r="A12" s="93" t="s">
        <v>26</v>
      </c>
      <c r="B12" s="93" t="s">
        <v>5</v>
      </c>
      <c r="C12" s="94">
        <v>45515</v>
      </c>
      <c r="D12" s="95" t="s">
        <v>27</v>
      </c>
    </row>
    <row r="13" spans="1:4" ht="90">
      <c r="A13" s="93" t="s">
        <v>28</v>
      </c>
      <c r="B13" s="93" t="s">
        <v>5</v>
      </c>
      <c r="C13" s="94">
        <v>45531</v>
      </c>
      <c r="D13" s="95" t="s">
        <v>29</v>
      </c>
    </row>
    <row r="14" spans="1:4" ht="45">
      <c r="A14" s="93" t="s">
        <v>30</v>
      </c>
      <c r="B14" s="93" t="s">
        <v>5</v>
      </c>
      <c r="C14" s="94">
        <v>45531</v>
      </c>
      <c r="D14" s="95" t="s">
        <v>31</v>
      </c>
    </row>
    <row r="15" spans="1:4" ht="75">
      <c r="A15" s="90" t="s">
        <v>32</v>
      </c>
      <c r="B15" s="90" t="s">
        <v>33</v>
      </c>
      <c r="C15" s="91">
        <v>45594</v>
      </c>
      <c r="D15" s="92" t="s">
        <v>34</v>
      </c>
    </row>
    <row r="16" spans="1:4" ht="45">
      <c r="A16" s="93" t="s">
        <v>35</v>
      </c>
      <c r="B16" s="93" t="s">
        <v>36</v>
      </c>
      <c r="C16" s="94">
        <v>45595</v>
      </c>
      <c r="D16" s="95" t="s">
        <v>37</v>
      </c>
    </row>
    <row r="17" spans="1:4">
      <c r="A17" s="93" t="s">
        <v>38</v>
      </c>
      <c r="B17" s="93" t="s">
        <v>12</v>
      </c>
      <c r="C17" s="94">
        <v>45622</v>
      </c>
      <c r="D17" s="95" t="s">
        <v>39</v>
      </c>
    </row>
    <row r="18" spans="1:4" s="2" customFormat="1" ht="405">
      <c r="A18" s="93" t="s">
        <v>40</v>
      </c>
      <c r="B18" s="95" t="s">
        <v>41</v>
      </c>
      <c r="C18" s="94">
        <v>45665</v>
      </c>
      <c r="D18" s="95" t="s">
        <v>42</v>
      </c>
    </row>
    <row r="19" spans="1:4" s="2" customFormat="1" ht="135">
      <c r="A19" s="93" t="s">
        <v>43</v>
      </c>
      <c r="B19" s="95" t="s">
        <v>12</v>
      </c>
      <c r="C19" s="94">
        <v>45670</v>
      </c>
      <c r="D19" s="95" t="s">
        <v>44</v>
      </c>
    </row>
    <row r="20" spans="1:4" s="2" customFormat="1" ht="75">
      <c r="A20" s="93" t="s">
        <v>45</v>
      </c>
      <c r="B20" s="95" t="s">
        <v>46</v>
      </c>
      <c r="C20" s="94">
        <v>45694</v>
      </c>
      <c r="D20" s="95" t="s">
        <v>47</v>
      </c>
    </row>
    <row r="21" spans="1:4" s="3" customFormat="1" ht="30">
      <c r="A21" s="93" t="s">
        <v>48</v>
      </c>
      <c r="B21" s="95" t="s">
        <v>33</v>
      </c>
      <c r="C21" s="94">
        <v>45706</v>
      </c>
      <c r="D21" s="95" t="s">
        <v>49</v>
      </c>
    </row>
    <row r="22" spans="1:4" s="2" customFormat="1" ht="75">
      <c r="A22" s="93" t="s">
        <v>50</v>
      </c>
      <c r="B22" s="95" t="s">
        <v>12</v>
      </c>
      <c r="C22" s="94">
        <v>45708</v>
      </c>
      <c r="D22" s="95"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51"/>
  <sheetViews>
    <sheetView zoomScale="190" zoomScaleNormal="190" workbookViewId="0">
      <selection activeCell="E26" sqref="E26"/>
    </sheetView>
  </sheetViews>
  <sheetFormatPr defaultColWidth="8.28515625" defaultRowHeight="12.75"/>
  <cols>
    <col min="1" max="1" width="8.28515625" style="63" customWidth="1"/>
    <col min="2" max="16384" width="8.28515625" style="63"/>
  </cols>
  <sheetData>
    <row r="1" spans="1:22" ht="17.100000000000001" customHeight="1">
      <c r="A1" s="64" t="s">
        <v>52</v>
      </c>
      <c r="B1" s="65">
        <v>1</v>
      </c>
      <c r="C1" s="65">
        <v>1</v>
      </c>
      <c r="D1" s="96">
        <v>2</v>
      </c>
      <c r="E1" s="96"/>
      <c r="F1" s="96">
        <v>2</v>
      </c>
      <c r="G1" s="96"/>
      <c r="H1" s="96">
        <v>2</v>
      </c>
      <c r="I1" s="96"/>
    </row>
    <row r="2" spans="1:22" ht="27.95" customHeight="1">
      <c r="A2" s="115" t="s">
        <v>53</v>
      </c>
      <c r="B2" s="115" t="s">
        <v>54</v>
      </c>
      <c r="C2" s="115" t="s">
        <v>55</v>
      </c>
      <c r="D2" s="67" t="s">
        <v>56</v>
      </c>
      <c r="E2" s="67" t="s">
        <v>56</v>
      </c>
      <c r="F2" s="115" t="s">
        <v>57</v>
      </c>
      <c r="G2" s="116" t="s">
        <v>58</v>
      </c>
      <c r="H2" s="68" t="s">
        <v>59</v>
      </c>
      <c r="I2" s="68" t="s">
        <v>59</v>
      </c>
    </row>
    <row r="3" spans="1:22" ht="16.350000000000001" customHeight="1">
      <c r="A3" s="115"/>
      <c r="B3" s="115"/>
      <c r="C3" s="115"/>
      <c r="D3" s="66" t="s">
        <v>60</v>
      </c>
      <c r="E3" s="66" t="s">
        <v>61</v>
      </c>
      <c r="F3" s="115"/>
      <c r="G3" s="116"/>
      <c r="H3" s="66" t="s">
        <v>61</v>
      </c>
      <c r="I3" s="66" t="s">
        <v>60</v>
      </c>
    </row>
    <row r="5" spans="1:22" ht="24">
      <c r="A5" s="69" t="s">
        <v>62</v>
      </c>
      <c r="B5" s="70" t="s">
        <v>55</v>
      </c>
      <c r="C5" s="71" t="s">
        <v>63</v>
      </c>
    </row>
    <row r="6" spans="1:22" ht="24">
      <c r="A6" s="72">
        <v>1</v>
      </c>
      <c r="B6" s="72" t="s">
        <v>64</v>
      </c>
      <c r="C6" s="73" t="s">
        <v>65</v>
      </c>
    </row>
    <row r="7" spans="1:22" ht="24">
      <c r="A7" s="72">
        <v>2</v>
      </c>
      <c r="B7" s="72" t="s">
        <v>66</v>
      </c>
      <c r="C7" s="73" t="s">
        <v>67</v>
      </c>
    </row>
    <row r="9" spans="1:22" ht="24">
      <c r="A9" s="74" t="s">
        <v>68</v>
      </c>
      <c r="B9" s="97" t="s">
        <v>69</v>
      </c>
      <c r="C9" s="97"/>
      <c r="D9" s="97"/>
      <c r="E9" s="97"/>
    </row>
    <row r="10" spans="1:22">
      <c r="A10" s="75">
        <v>1</v>
      </c>
      <c r="B10" s="98" t="s">
        <v>70</v>
      </c>
      <c r="C10" s="98"/>
      <c r="D10" s="98"/>
      <c r="E10" s="98"/>
    </row>
    <row r="11" spans="1:22">
      <c r="A11" s="75">
        <v>2</v>
      </c>
      <c r="B11" s="98" t="s">
        <v>71</v>
      </c>
      <c r="C11" s="98"/>
      <c r="D11" s="98"/>
      <c r="E11" s="98"/>
    </row>
    <row r="12" spans="1:22">
      <c r="A12" s="75">
        <v>3</v>
      </c>
      <c r="B12" s="98" t="s">
        <v>72</v>
      </c>
      <c r="C12" s="98"/>
      <c r="D12" s="98"/>
      <c r="E12" s="98"/>
    </row>
    <row r="13" spans="1:22">
      <c r="A13" s="76">
        <v>4</v>
      </c>
      <c r="B13" s="98" t="s">
        <v>73</v>
      </c>
      <c r="C13" s="98"/>
      <c r="D13" s="98"/>
      <c r="E13" s="98"/>
    </row>
    <row r="15" spans="1:22">
      <c r="A15" s="99" t="s">
        <v>74</v>
      </c>
      <c r="B15" s="99"/>
      <c r="C15" s="99"/>
      <c r="D15" s="99"/>
      <c r="E15" s="99"/>
      <c r="F15" s="99"/>
      <c r="G15" s="99"/>
      <c r="H15" s="99"/>
      <c r="I15" s="99"/>
      <c r="J15" s="83"/>
      <c r="K15" s="100" t="s">
        <v>75</v>
      </c>
      <c r="L15" s="100"/>
      <c r="M15" s="100"/>
      <c r="N15" s="100"/>
      <c r="O15" s="100"/>
      <c r="P15" s="100"/>
      <c r="Q15" s="100"/>
      <c r="R15" s="100"/>
      <c r="S15" s="100"/>
      <c r="T15" s="100"/>
      <c r="U15" s="100"/>
      <c r="V15" s="100"/>
    </row>
    <row r="16" spans="1:22" ht="24">
      <c r="A16" s="77" t="s">
        <v>52</v>
      </c>
      <c r="B16" s="78">
        <v>1</v>
      </c>
      <c r="C16" s="78">
        <v>1</v>
      </c>
      <c r="D16" s="101">
        <v>2</v>
      </c>
      <c r="E16" s="101"/>
      <c r="F16" s="101">
        <v>2</v>
      </c>
      <c r="G16" s="101"/>
      <c r="H16" s="101">
        <v>2</v>
      </c>
      <c r="I16" s="101"/>
      <c r="J16" s="84"/>
      <c r="K16" s="85" t="s">
        <v>52</v>
      </c>
      <c r="L16" s="86">
        <v>1</v>
      </c>
      <c r="M16" s="86">
        <v>1</v>
      </c>
      <c r="N16" s="102">
        <v>2</v>
      </c>
      <c r="O16" s="102"/>
      <c r="P16" s="102">
        <v>2</v>
      </c>
      <c r="Q16" s="102"/>
      <c r="R16" s="86" t="s">
        <v>76</v>
      </c>
      <c r="S16" s="102" t="s">
        <v>77</v>
      </c>
      <c r="T16" s="102"/>
      <c r="U16" s="102">
        <v>2</v>
      </c>
      <c r="V16" s="102"/>
    </row>
    <row r="17" spans="1:22">
      <c r="A17" s="110" t="s">
        <v>53</v>
      </c>
      <c r="B17" s="103" t="s">
        <v>54</v>
      </c>
      <c r="C17" s="103" t="s">
        <v>55</v>
      </c>
      <c r="D17" s="103" t="s">
        <v>56</v>
      </c>
      <c r="E17" s="103"/>
      <c r="F17" s="103" t="s">
        <v>78</v>
      </c>
      <c r="G17" s="103"/>
      <c r="H17" s="104" t="s">
        <v>79</v>
      </c>
      <c r="I17" s="104"/>
      <c r="J17" s="84"/>
      <c r="K17" s="107" t="s">
        <v>53</v>
      </c>
      <c r="L17" s="105" t="s">
        <v>54</v>
      </c>
      <c r="M17" s="105" t="s">
        <v>55</v>
      </c>
      <c r="N17" s="105" t="s">
        <v>56</v>
      </c>
      <c r="O17" s="105"/>
      <c r="P17" s="105" t="s">
        <v>78</v>
      </c>
      <c r="Q17" s="105"/>
      <c r="R17" s="107" t="s">
        <v>52</v>
      </c>
      <c r="S17" s="106" t="s">
        <v>80</v>
      </c>
      <c r="T17" s="107"/>
      <c r="U17" s="108" t="s">
        <v>79</v>
      </c>
      <c r="V17" s="108"/>
    </row>
    <row r="18" spans="1:22" ht="24">
      <c r="A18" s="110"/>
      <c r="B18" s="103"/>
      <c r="C18" s="103"/>
      <c r="D18" s="80" t="s">
        <v>81</v>
      </c>
      <c r="E18" s="80" t="s">
        <v>82</v>
      </c>
      <c r="F18" s="80" t="s">
        <v>81</v>
      </c>
      <c r="G18" s="80" t="s">
        <v>82</v>
      </c>
      <c r="H18" s="80" t="s">
        <v>83</v>
      </c>
      <c r="I18" s="80" t="s">
        <v>84</v>
      </c>
      <c r="J18" s="84"/>
      <c r="K18" s="107"/>
      <c r="L18" s="105"/>
      <c r="M18" s="105"/>
      <c r="N18" s="88" t="s">
        <v>81</v>
      </c>
      <c r="O18" s="88" t="s">
        <v>82</v>
      </c>
      <c r="P18" s="88" t="s">
        <v>81</v>
      </c>
      <c r="Q18" s="88" t="s">
        <v>82</v>
      </c>
      <c r="R18" s="107"/>
      <c r="S18" s="88" t="s">
        <v>81</v>
      </c>
      <c r="T18" s="88" t="s">
        <v>82</v>
      </c>
      <c r="U18" s="88" t="s">
        <v>83</v>
      </c>
      <c r="V18" s="88" t="s">
        <v>84</v>
      </c>
    </row>
    <row r="19" spans="1:22">
      <c r="A19" s="79" t="s">
        <v>85</v>
      </c>
      <c r="B19" s="79" t="s">
        <v>86</v>
      </c>
      <c r="C19" s="79" t="s">
        <v>87</v>
      </c>
      <c r="D19" s="79" t="s">
        <v>88</v>
      </c>
      <c r="E19" s="79" t="s">
        <v>88</v>
      </c>
      <c r="F19" s="109" t="s">
        <v>89</v>
      </c>
      <c r="G19" s="110"/>
      <c r="H19" s="110" t="s">
        <v>90</v>
      </c>
      <c r="I19" s="110"/>
      <c r="J19" s="84"/>
      <c r="K19" s="87" t="s">
        <v>85</v>
      </c>
      <c r="L19" s="87" t="s">
        <v>86</v>
      </c>
      <c r="M19" s="87" t="s">
        <v>91</v>
      </c>
      <c r="N19" s="87" t="s">
        <v>88</v>
      </c>
      <c r="O19" s="87" t="s">
        <v>88</v>
      </c>
      <c r="P19" s="106" t="s">
        <v>89</v>
      </c>
      <c r="Q19" s="107"/>
      <c r="R19" s="87" t="s">
        <v>77</v>
      </c>
      <c r="S19" s="87" t="s">
        <v>88</v>
      </c>
      <c r="T19" s="87" t="s">
        <v>88</v>
      </c>
      <c r="U19" s="107" t="s">
        <v>90</v>
      </c>
      <c r="V19" s="107"/>
    </row>
    <row r="20" spans="1:22">
      <c r="A20" s="81"/>
      <c r="B20" s="81"/>
      <c r="C20" s="81"/>
      <c r="D20" s="81"/>
      <c r="E20" s="81"/>
      <c r="F20" s="81"/>
      <c r="G20" s="81"/>
      <c r="H20" s="81"/>
      <c r="I20" s="81"/>
      <c r="J20" s="81"/>
      <c r="K20" s="81"/>
      <c r="L20" s="81"/>
      <c r="M20" s="81"/>
      <c r="N20" s="81"/>
      <c r="O20" s="81"/>
      <c r="P20" s="81"/>
      <c r="Q20" s="81"/>
      <c r="R20" s="81"/>
      <c r="S20" s="81"/>
      <c r="T20" s="81"/>
      <c r="U20" s="81"/>
      <c r="V20" s="81"/>
    </row>
    <row r="21" spans="1:22">
      <c r="A21" s="99" t="s">
        <v>92</v>
      </c>
      <c r="B21" s="99"/>
      <c r="C21" s="99"/>
      <c r="D21" s="99"/>
      <c r="E21" s="99"/>
      <c r="F21" s="99"/>
      <c r="G21" s="99"/>
      <c r="H21" s="99"/>
      <c r="I21" s="83"/>
      <c r="J21" s="81"/>
      <c r="K21" s="100" t="s">
        <v>93</v>
      </c>
      <c r="L21" s="100"/>
      <c r="M21" s="100"/>
      <c r="N21" s="100"/>
      <c r="O21" s="100"/>
      <c r="P21" s="100"/>
      <c r="Q21" s="100"/>
      <c r="R21" s="100"/>
      <c r="S21" s="100"/>
      <c r="T21" s="81"/>
      <c r="U21" s="81"/>
      <c r="V21" s="81"/>
    </row>
    <row r="22" spans="1:22" ht="24">
      <c r="A22" s="77" t="s">
        <v>52</v>
      </c>
      <c r="B22" s="78">
        <v>1</v>
      </c>
      <c r="C22" s="78">
        <v>1</v>
      </c>
      <c r="D22" s="78" t="s">
        <v>76</v>
      </c>
      <c r="E22" s="101" t="s">
        <v>77</v>
      </c>
      <c r="F22" s="101"/>
      <c r="G22" s="101">
        <v>2</v>
      </c>
      <c r="H22" s="101"/>
      <c r="I22" s="81"/>
      <c r="J22" s="81"/>
      <c r="K22" s="85" t="s">
        <v>52</v>
      </c>
      <c r="L22" s="86">
        <v>1</v>
      </c>
      <c r="M22" s="86">
        <v>1</v>
      </c>
      <c r="N22" s="102">
        <v>2</v>
      </c>
      <c r="O22" s="102"/>
      <c r="P22" s="102" t="s">
        <v>94</v>
      </c>
      <c r="Q22" s="102"/>
      <c r="R22" s="102">
        <v>2</v>
      </c>
      <c r="S22" s="102"/>
      <c r="T22" s="81"/>
      <c r="U22" s="81"/>
      <c r="V22" s="81"/>
    </row>
    <row r="23" spans="1:22">
      <c r="A23" s="110" t="s">
        <v>53</v>
      </c>
      <c r="B23" s="104" t="s">
        <v>54</v>
      </c>
      <c r="C23" s="104" t="s">
        <v>55</v>
      </c>
      <c r="D23" s="104" t="s">
        <v>95</v>
      </c>
      <c r="E23" s="104" t="s">
        <v>80</v>
      </c>
      <c r="F23" s="104"/>
      <c r="G23" s="104" t="s">
        <v>79</v>
      </c>
      <c r="H23" s="104"/>
      <c r="I23" s="81"/>
      <c r="J23" s="81"/>
      <c r="K23" s="107" t="s">
        <v>53</v>
      </c>
      <c r="L23" s="108" t="s">
        <v>54</v>
      </c>
      <c r="M23" s="108" t="s">
        <v>55</v>
      </c>
      <c r="N23" s="108" t="s">
        <v>56</v>
      </c>
      <c r="O23" s="108"/>
      <c r="P23" s="105" t="s">
        <v>78</v>
      </c>
      <c r="Q23" s="105"/>
      <c r="R23" s="108" t="s">
        <v>79</v>
      </c>
      <c r="S23" s="108"/>
      <c r="T23" s="81"/>
      <c r="U23" s="81"/>
      <c r="V23" s="81"/>
    </row>
    <row r="24" spans="1:22" ht="24">
      <c r="A24" s="110"/>
      <c r="B24" s="104"/>
      <c r="C24" s="104"/>
      <c r="D24" s="104"/>
      <c r="E24" s="80" t="s">
        <v>81</v>
      </c>
      <c r="F24" s="80" t="s">
        <v>82</v>
      </c>
      <c r="G24" s="80" t="s">
        <v>83</v>
      </c>
      <c r="H24" s="80" t="s">
        <v>84</v>
      </c>
      <c r="I24" s="81"/>
      <c r="J24" s="81"/>
      <c r="K24" s="107"/>
      <c r="L24" s="108"/>
      <c r="M24" s="108"/>
      <c r="N24" s="88" t="s">
        <v>81</v>
      </c>
      <c r="O24" s="88" t="s">
        <v>82</v>
      </c>
      <c r="P24" s="88" t="s">
        <v>81</v>
      </c>
      <c r="Q24" s="88" t="s">
        <v>82</v>
      </c>
      <c r="R24" s="88" t="s">
        <v>83</v>
      </c>
      <c r="S24" s="88" t="s">
        <v>84</v>
      </c>
      <c r="T24" s="81"/>
      <c r="U24" s="81"/>
      <c r="V24" s="81"/>
    </row>
    <row r="25" spans="1:22">
      <c r="A25" s="79" t="s">
        <v>85</v>
      </c>
      <c r="B25" s="80" t="s">
        <v>86</v>
      </c>
      <c r="C25" s="80" t="s">
        <v>87</v>
      </c>
      <c r="D25" s="80" t="s">
        <v>77</v>
      </c>
      <c r="E25" s="104" t="s">
        <v>89</v>
      </c>
      <c r="F25" s="104"/>
      <c r="G25" s="104" t="s">
        <v>90</v>
      </c>
      <c r="H25" s="104"/>
      <c r="I25" s="81"/>
      <c r="J25" s="81"/>
      <c r="K25" s="87" t="s">
        <v>85</v>
      </c>
      <c r="L25" s="88" t="s">
        <v>86</v>
      </c>
      <c r="M25" s="88" t="s">
        <v>91</v>
      </c>
      <c r="N25" s="88" t="s">
        <v>88</v>
      </c>
      <c r="O25" s="88" t="s">
        <v>88</v>
      </c>
      <c r="P25" s="106" t="s">
        <v>89</v>
      </c>
      <c r="Q25" s="107"/>
      <c r="R25" s="108" t="s">
        <v>90</v>
      </c>
      <c r="S25" s="108"/>
      <c r="T25" s="81"/>
      <c r="U25" s="81"/>
      <c r="V25" s="81"/>
    </row>
    <row r="26" spans="1:22">
      <c r="A26" s="81"/>
      <c r="B26" s="81"/>
      <c r="C26" s="81"/>
      <c r="D26" s="81"/>
      <c r="E26" s="81"/>
      <c r="F26" s="81"/>
      <c r="G26" s="81"/>
      <c r="H26" s="81"/>
      <c r="I26" s="81"/>
      <c r="J26" s="81"/>
      <c r="K26" s="81"/>
      <c r="L26" s="81"/>
      <c r="M26" s="81"/>
      <c r="N26" s="81"/>
      <c r="O26" s="81"/>
      <c r="P26" s="81"/>
      <c r="Q26" s="81"/>
      <c r="R26" s="81"/>
      <c r="S26" s="81"/>
      <c r="T26" s="81"/>
      <c r="U26" s="81"/>
      <c r="V26" s="81"/>
    </row>
    <row r="27" spans="1:22">
      <c r="A27" s="99" t="s">
        <v>96</v>
      </c>
      <c r="B27" s="99"/>
      <c r="C27" s="99"/>
      <c r="D27" s="99"/>
      <c r="E27" s="99"/>
      <c r="F27" s="99"/>
      <c r="G27" s="81"/>
      <c r="H27" s="81"/>
      <c r="I27" s="81"/>
      <c r="J27" s="81"/>
      <c r="K27" s="100" t="s">
        <v>96</v>
      </c>
      <c r="L27" s="100"/>
      <c r="M27" s="100"/>
      <c r="N27" s="100"/>
      <c r="O27" s="100"/>
      <c r="P27" s="100"/>
      <c r="Q27" s="81"/>
      <c r="R27" s="81"/>
      <c r="S27" s="81"/>
      <c r="T27" s="81"/>
      <c r="U27" s="81"/>
      <c r="V27" s="81"/>
    </row>
    <row r="28" spans="1:22" ht="24">
      <c r="A28" s="77" t="s">
        <v>52</v>
      </c>
      <c r="B28" s="77">
        <v>1</v>
      </c>
      <c r="C28" s="77" t="s">
        <v>76</v>
      </c>
      <c r="D28" s="77" t="s">
        <v>76</v>
      </c>
      <c r="E28" s="111" t="s">
        <v>94</v>
      </c>
      <c r="F28" s="111"/>
      <c r="G28" s="81"/>
      <c r="H28" s="81"/>
      <c r="I28" s="81"/>
      <c r="J28" s="81"/>
      <c r="K28" s="85" t="s">
        <v>52</v>
      </c>
      <c r="L28" s="85">
        <v>1</v>
      </c>
      <c r="M28" s="85" t="s">
        <v>76</v>
      </c>
      <c r="N28" s="85" t="s">
        <v>76</v>
      </c>
      <c r="O28" s="112" t="s">
        <v>94</v>
      </c>
      <c r="P28" s="112"/>
      <c r="Q28" s="81"/>
      <c r="R28" s="81"/>
      <c r="S28" s="81"/>
      <c r="T28" s="81"/>
      <c r="U28" s="81"/>
      <c r="V28" s="81"/>
    </row>
    <row r="29" spans="1:22">
      <c r="A29" s="110" t="s">
        <v>53</v>
      </c>
      <c r="B29" s="104" t="s">
        <v>54</v>
      </c>
      <c r="C29" s="113" t="s">
        <v>55</v>
      </c>
      <c r="D29" s="113" t="s">
        <v>68</v>
      </c>
      <c r="E29" s="113" t="s">
        <v>79</v>
      </c>
      <c r="F29" s="113"/>
      <c r="G29" s="81"/>
      <c r="H29" s="81"/>
      <c r="I29" s="81"/>
      <c r="J29" s="81"/>
      <c r="K29" s="107" t="s">
        <v>53</v>
      </c>
      <c r="L29" s="108" t="s">
        <v>54</v>
      </c>
      <c r="M29" s="114" t="s">
        <v>55</v>
      </c>
      <c r="N29" s="114" t="s">
        <v>68</v>
      </c>
      <c r="O29" s="114" t="s">
        <v>79</v>
      </c>
      <c r="P29" s="114"/>
      <c r="Q29" s="81"/>
      <c r="R29" s="81"/>
      <c r="S29" s="81"/>
      <c r="T29" s="81"/>
      <c r="U29" s="81"/>
      <c r="V29" s="81"/>
    </row>
    <row r="30" spans="1:22" ht="24">
      <c r="A30" s="110"/>
      <c r="B30" s="104"/>
      <c r="C30" s="113"/>
      <c r="D30" s="113"/>
      <c r="E30" s="82" t="s">
        <v>83</v>
      </c>
      <c r="F30" s="82" t="s">
        <v>84</v>
      </c>
      <c r="G30" s="81"/>
      <c r="H30" s="81"/>
      <c r="I30" s="81"/>
      <c r="J30" s="81"/>
      <c r="K30" s="107"/>
      <c r="L30" s="108"/>
      <c r="M30" s="114"/>
      <c r="N30" s="114"/>
      <c r="O30" s="89" t="s">
        <v>83</v>
      </c>
      <c r="P30" s="89" t="s">
        <v>84</v>
      </c>
      <c r="Q30" s="81"/>
      <c r="R30" s="81"/>
      <c r="S30" s="81"/>
      <c r="T30" s="81"/>
      <c r="U30" s="81"/>
      <c r="V30" s="81"/>
    </row>
    <row r="31" spans="1:22">
      <c r="A31" s="79" t="s">
        <v>85</v>
      </c>
      <c r="B31" s="79" t="s">
        <v>86</v>
      </c>
      <c r="C31" s="79" t="s">
        <v>97</v>
      </c>
      <c r="D31" s="82" t="s">
        <v>88</v>
      </c>
      <c r="E31" s="79"/>
      <c r="F31" s="79"/>
      <c r="G31" s="81"/>
      <c r="H31" s="81"/>
      <c r="I31" s="81"/>
      <c r="J31" s="81"/>
      <c r="K31" s="87" t="s">
        <v>85</v>
      </c>
      <c r="L31" s="87" t="s">
        <v>86</v>
      </c>
      <c r="M31" s="87" t="s">
        <v>98</v>
      </c>
      <c r="N31" s="87" t="s">
        <v>88</v>
      </c>
      <c r="O31" s="107" t="s">
        <v>90</v>
      </c>
      <c r="P31" s="107"/>
      <c r="Q31" s="81"/>
      <c r="R31" s="81"/>
      <c r="S31" s="81"/>
      <c r="T31" s="81"/>
      <c r="U31" s="81"/>
      <c r="V31" s="81"/>
    </row>
    <row r="51" spans="1:12">
      <c r="A51" s="81"/>
      <c r="B51" s="81"/>
      <c r="C51" s="81"/>
      <c r="D51" s="81"/>
      <c r="E51" s="81"/>
      <c r="F51" s="81"/>
      <c r="G51" s="81"/>
      <c r="H51" s="81"/>
      <c r="I51" s="81"/>
      <c r="J51" s="81"/>
      <c r="K51" s="81"/>
      <c r="L51" s="81"/>
    </row>
  </sheetData>
  <mergeCells count="78">
    <mergeCell ref="C17:C18"/>
    <mergeCell ref="C23:C24"/>
    <mergeCell ref="C29:C30"/>
    <mergeCell ref="D23:D24"/>
    <mergeCell ref="D29:D30"/>
    <mergeCell ref="A2:A3"/>
    <mergeCell ref="A17:A18"/>
    <mergeCell ref="A23:A24"/>
    <mergeCell ref="A29:A30"/>
    <mergeCell ref="B2:B3"/>
    <mergeCell ref="B17:B18"/>
    <mergeCell ref="B23:B24"/>
    <mergeCell ref="B29:B30"/>
    <mergeCell ref="E28:F28"/>
    <mergeCell ref="O28:P28"/>
    <mergeCell ref="E29:F29"/>
    <mergeCell ref="O29:P29"/>
    <mergeCell ref="O31:P31"/>
    <mergeCell ref="K29:K30"/>
    <mergeCell ref="L29:L30"/>
    <mergeCell ref="M29:M30"/>
    <mergeCell ref="N29:N30"/>
    <mergeCell ref="E25:F25"/>
    <mergeCell ref="G25:H25"/>
    <mergeCell ref="P25:Q25"/>
    <mergeCell ref="R25:S25"/>
    <mergeCell ref="A27:F27"/>
    <mergeCell ref="K27:P27"/>
    <mergeCell ref="E23:F23"/>
    <mergeCell ref="G23:H23"/>
    <mergeCell ref="N23:O23"/>
    <mergeCell ref="P23:Q23"/>
    <mergeCell ref="R23:S23"/>
    <mergeCell ref="K23:K24"/>
    <mergeCell ref="L23:L24"/>
    <mergeCell ref="M23:M24"/>
    <mergeCell ref="E22:F22"/>
    <mergeCell ref="G22:H22"/>
    <mergeCell ref="N22:O22"/>
    <mergeCell ref="P22:Q22"/>
    <mergeCell ref="R22:S22"/>
    <mergeCell ref="F19:G19"/>
    <mergeCell ref="H19:I19"/>
    <mergeCell ref="P19:Q19"/>
    <mergeCell ref="U19:V19"/>
    <mergeCell ref="A21:H21"/>
    <mergeCell ref="K21:S21"/>
    <mergeCell ref="S16:T16"/>
    <mergeCell ref="U16:V16"/>
    <mergeCell ref="D17:E17"/>
    <mergeCell ref="F17:G17"/>
    <mergeCell ref="H17:I17"/>
    <mergeCell ref="N17:O17"/>
    <mergeCell ref="P17:Q17"/>
    <mergeCell ref="S17:T17"/>
    <mergeCell ref="U17:V17"/>
    <mergeCell ref="K17:K18"/>
    <mergeCell ref="L17:L18"/>
    <mergeCell ref="M17:M18"/>
    <mergeCell ref="R17:R18"/>
    <mergeCell ref="D16:E16"/>
    <mergeCell ref="F16:G16"/>
    <mergeCell ref="H16:I16"/>
    <mergeCell ref="N16:O16"/>
    <mergeCell ref="P16:Q16"/>
    <mergeCell ref="B11:E11"/>
    <mergeCell ref="B12:E12"/>
    <mergeCell ref="B13:E13"/>
    <mergeCell ref="A15:I15"/>
    <mergeCell ref="K15:V15"/>
    <mergeCell ref="D1:E1"/>
    <mergeCell ref="F1:G1"/>
    <mergeCell ref="H1:I1"/>
    <mergeCell ref="B9:E9"/>
    <mergeCell ref="B10:E10"/>
    <mergeCell ref="C2:C3"/>
    <mergeCell ref="F2:F3"/>
    <mergeCell ref="G2: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K66"/>
  <sheetViews>
    <sheetView tabSelected="1" zoomScale="115" zoomScaleNormal="115" workbookViewId="0">
      <selection activeCell="D25" sqref="D25"/>
    </sheetView>
  </sheetViews>
  <sheetFormatPr defaultColWidth="8.7109375" defaultRowHeight="15"/>
  <cols>
    <col min="1" max="1" width="5.5703125" customWidth="1"/>
    <col min="2" max="2" width="14" customWidth="1"/>
    <col min="3" max="3" width="5.5703125" customWidth="1"/>
    <col min="4" max="4" width="7.7109375" customWidth="1"/>
    <col min="5" max="5" width="17" customWidth="1"/>
    <col min="6" max="7" width="20.85546875" customWidth="1"/>
    <col min="8" max="8" width="14.140625" customWidth="1"/>
    <col min="9" max="9" width="25.5703125" customWidth="1"/>
    <col min="10" max="10"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0</v>
      </c>
      <c r="C2" s="22" t="s">
        <v>110</v>
      </c>
      <c r="D2" s="22"/>
      <c r="E2" s="22"/>
      <c r="F2" s="22" t="s">
        <v>111</v>
      </c>
      <c r="G2" s="22"/>
      <c r="H2" s="25"/>
      <c r="I2" s="25"/>
      <c r="J2" s="22"/>
    </row>
    <row r="3" spans="1:11">
      <c r="A3" s="22" t="s">
        <v>76</v>
      </c>
      <c r="B3" s="23">
        <f t="shared" ref="B3:B34" si="0">$B$2+A3-1</f>
        <v>0</v>
      </c>
      <c r="C3" s="23" t="str">
        <f t="shared" ref="C3:C34" si="1">DEC2HEX(B3,4)</f>
        <v>0000</v>
      </c>
      <c r="D3" s="22"/>
      <c r="E3" s="22" t="s">
        <v>112</v>
      </c>
      <c r="F3" s="22" t="s">
        <v>113</v>
      </c>
      <c r="G3" s="22" t="s">
        <v>114</v>
      </c>
      <c r="H3" s="24"/>
      <c r="I3" s="24"/>
      <c r="J3" s="22"/>
    </row>
    <row r="4" spans="1:11">
      <c r="A4" s="22" t="s">
        <v>94</v>
      </c>
      <c r="B4" s="23">
        <f t="shared" si="0"/>
        <v>1</v>
      </c>
      <c r="C4" s="23" t="str">
        <f t="shared" si="1"/>
        <v>0001</v>
      </c>
      <c r="D4" s="22"/>
      <c r="E4" s="22" t="s">
        <v>112</v>
      </c>
      <c r="F4" s="22" t="s">
        <v>113</v>
      </c>
      <c r="G4" s="22" t="s">
        <v>114</v>
      </c>
      <c r="H4" s="24"/>
      <c r="I4" s="24"/>
      <c r="J4" s="22"/>
    </row>
    <row r="5" spans="1:11">
      <c r="A5" s="22" t="s">
        <v>115</v>
      </c>
      <c r="B5" s="23">
        <f t="shared" si="0"/>
        <v>2</v>
      </c>
      <c r="C5" s="23" t="str">
        <f t="shared" si="1"/>
        <v>0002</v>
      </c>
      <c r="D5" s="22"/>
      <c r="E5" s="22" t="s">
        <v>112</v>
      </c>
      <c r="F5" s="22" t="s">
        <v>113</v>
      </c>
      <c r="G5" s="22" t="s">
        <v>114</v>
      </c>
      <c r="H5" s="24"/>
      <c r="I5" s="24"/>
      <c r="J5" s="22"/>
    </row>
    <row r="6" spans="1:11">
      <c r="A6" s="22" t="s">
        <v>116</v>
      </c>
      <c r="B6" s="23">
        <f t="shared" si="0"/>
        <v>3</v>
      </c>
      <c r="C6" s="23" t="str">
        <f t="shared" si="1"/>
        <v>0003</v>
      </c>
      <c r="D6" s="22"/>
      <c r="E6" s="22" t="s">
        <v>112</v>
      </c>
      <c r="F6" s="22" t="s">
        <v>113</v>
      </c>
      <c r="G6" s="22" t="s">
        <v>114</v>
      </c>
      <c r="H6" s="24"/>
      <c r="I6" s="24"/>
      <c r="J6" s="22"/>
    </row>
    <row r="7" spans="1:11">
      <c r="A7" s="22" t="s">
        <v>117</v>
      </c>
      <c r="B7" s="23">
        <f t="shared" si="0"/>
        <v>4</v>
      </c>
      <c r="C7" s="23" t="str">
        <f t="shared" si="1"/>
        <v>0004</v>
      </c>
      <c r="D7" s="22"/>
      <c r="E7" s="22" t="s">
        <v>112</v>
      </c>
      <c r="F7" s="22" t="s">
        <v>113</v>
      </c>
      <c r="G7" s="22" t="s">
        <v>114</v>
      </c>
      <c r="H7" s="24"/>
      <c r="I7" s="24"/>
      <c r="J7" s="22"/>
    </row>
    <row r="8" spans="1:11">
      <c r="A8" s="22" t="s">
        <v>118</v>
      </c>
      <c r="B8" s="23">
        <f t="shared" si="0"/>
        <v>5</v>
      </c>
      <c r="C8" s="23" t="str">
        <f t="shared" si="1"/>
        <v>0005</v>
      </c>
      <c r="D8" s="22"/>
      <c r="E8" s="22" t="s">
        <v>112</v>
      </c>
      <c r="F8" s="22" t="s">
        <v>113</v>
      </c>
      <c r="G8" s="22" t="s">
        <v>114</v>
      </c>
      <c r="H8" s="24"/>
      <c r="I8" s="24"/>
      <c r="J8" s="22"/>
    </row>
    <row r="9" spans="1:11">
      <c r="A9" s="22" t="s">
        <v>119</v>
      </c>
      <c r="B9" s="23">
        <f t="shared" si="0"/>
        <v>6</v>
      </c>
      <c r="C9" s="23" t="str">
        <f t="shared" si="1"/>
        <v>0006</v>
      </c>
      <c r="D9" s="22"/>
      <c r="E9" s="22" t="s">
        <v>112</v>
      </c>
      <c r="F9" s="22" t="s">
        <v>113</v>
      </c>
      <c r="G9" s="22" t="s">
        <v>114</v>
      </c>
      <c r="H9" s="24"/>
      <c r="I9" s="24"/>
      <c r="J9" s="22"/>
    </row>
    <row r="10" spans="1:11">
      <c r="A10" s="22" t="s">
        <v>120</v>
      </c>
      <c r="B10" s="23">
        <f t="shared" si="0"/>
        <v>7</v>
      </c>
      <c r="C10" s="23" t="str">
        <f t="shared" si="1"/>
        <v>0007</v>
      </c>
      <c r="D10" s="22"/>
      <c r="E10" s="22" t="s">
        <v>112</v>
      </c>
      <c r="F10" s="22" t="s">
        <v>113</v>
      </c>
      <c r="G10" s="22" t="s">
        <v>114</v>
      </c>
      <c r="H10" s="24"/>
      <c r="I10" s="24"/>
      <c r="J10" s="22"/>
    </row>
    <row r="11" spans="1:11">
      <c r="A11" s="22" t="s">
        <v>121</v>
      </c>
      <c r="B11" s="23">
        <f t="shared" si="0"/>
        <v>8</v>
      </c>
      <c r="C11" s="23" t="str">
        <f t="shared" si="1"/>
        <v>0008</v>
      </c>
      <c r="D11" s="22"/>
      <c r="E11" s="22" t="s">
        <v>112</v>
      </c>
      <c r="F11" s="22" t="s">
        <v>113</v>
      </c>
      <c r="G11" s="22" t="s">
        <v>114</v>
      </c>
      <c r="H11" s="24"/>
      <c r="I11" s="24"/>
      <c r="J11" s="22"/>
    </row>
    <row r="12" spans="1:11">
      <c r="A12" s="22" t="s">
        <v>91</v>
      </c>
      <c r="B12" s="23">
        <f t="shared" si="0"/>
        <v>9</v>
      </c>
      <c r="C12" s="23" t="str">
        <f t="shared" si="1"/>
        <v>0009</v>
      </c>
      <c r="D12" s="22"/>
      <c r="E12" s="22" t="s">
        <v>112</v>
      </c>
      <c r="F12" s="22" t="s">
        <v>113</v>
      </c>
      <c r="G12" s="22" t="s">
        <v>114</v>
      </c>
      <c r="H12" s="24"/>
      <c r="I12" s="24"/>
      <c r="J12" s="22"/>
    </row>
    <row r="13" spans="1:11" s="3" customFormat="1">
      <c r="A13" s="1" t="s">
        <v>122</v>
      </c>
      <c r="B13" s="4">
        <f t="shared" si="0"/>
        <v>10</v>
      </c>
      <c r="C13" s="4" t="str">
        <f t="shared" si="1"/>
        <v>000A</v>
      </c>
      <c r="D13" s="1"/>
      <c r="E13" s="1" t="s">
        <v>112</v>
      </c>
      <c r="F13" s="1" t="s">
        <v>123</v>
      </c>
      <c r="G13" s="1" t="s">
        <v>114</v>
      </c>
      <c r="H13" s="9"/>
      <c r="I13" s="9"/>
      <c r="J13" s="1"/>
    </row>
    <row r="14" spans="1:11" s="3" customFormat="1">
      <c r="A14" s="1" t="s">
        <v>124</v>
      </c>
      <c r="B14" s="4">
        <f t="shared" si="0"/>
        <v>11</v>
      </c>
      <c r="C14" s="4" t="str">
        <f t="shared" si="1"/>
        <v>000B</v>
      </c>
      <c r="D14" s="1"/>
      <c r="E14" s="1" t="s">
        <v>112</v>
      </c>
      <c r="F14" s="1" t="s">
        <v>123</v>
      </c>
      <c r="G14" s="1" t="s">
        <v>114</v>
      </c>
      <c r="H14" s="9"/>
      <c r="I14" s="9"/>
      <c r="J14" s="1"/>
    </row>
    <row r="15" spans="1:11" s="3" customFormat="1">
      <c r="A15" s="1" t="s">
        <v>125</v>
      </c>
      <c r="B15" s="4">
        <f t="shared" si="0"/>
        <v>12</v>
      </c>
      <c r="C15" s="4" t="str">
        <f t="shared" si="1"/>
        <v>000C</v>
      </c>
      <c r="D15" s="1"/>
      <c r="E15" s="1" t="s">
        <v>112</v>
      </c>
      <c r="F15" s="1" t="s">
        <v>123</v>
      </c>
      <c r="G15" s="1" t="s">
        <v>114</v>
      </c>
      <c r="H15" s="9"/>
      <c r="I15" s="9"/>
      <c r="J15" s="1"/>
    </row>
    <row r="16" spans="1:11" s="3" customFormat="1">
      <c r="A16" s="1" t="s">
        <v>126</v>
      </c>
      <c r="B16" s="4">
        <f t="shared" si="0"/>
        <v>13</v>
      </c>
      <c r="C16" s="4" t="str">
        <f t="shared" si="1"/>
        <v>000D</v>
      </c>
      <c r="D16" s="1"/>
      <c r="E16" s="1" t="s">
        <v>112</v>
      </c>
      <c r="F16" s="1" t="s">
        <v>123</v>
      </c>
      <c r="G16" s="1" t="s">
        <v>114</v>
      </c>
      <c r="H16" s="9"/>
      <c r="I16" s="9"/>
      <c r="J16" s="1"/>
    </row>
    <row r="17" spans="1:10" s="3" customFormat="1">
      <c r="A17" s="1" t="s">
        <v>127</v>
      </c>
      <c r="B17" s="4">
        <f t="shared" si="0"/>
        <v>14</v>
      </c>
      <c r="C17" s="4" t="str">
        <f t="shared" si="1"/>
        <v>000E</v>
      </c>
      <c r="D17" s="1"/>
      <c r="E17" s="1" t="s">
        <v>112</v>
      </c>
      <c r="F17" s="1" t="s">
        <v>123</v>
      </c>
      <c r="G17" s="1" t="s">
        <v>114</v>
      </c>
      <c r="H17" s="9"/>
      <c r="I17" s="9"/>
      <c r="J17" s="1"/>
    </row>
    <row r="18" spans="1:10" s="3" customFormat="1" ht="75">
      <c r="A18" s="1" t="s">
        <v>128</v>
      </c>
      <c r="B18" s="4">
        <f t="shared" si="0"/>
        <v>15</v>
      </c>
      <c r="C18" s="4" t="str">
        <f t="shared" si="1"/>
        <v>000F</v>
      </c>
      <c r="D18" s="1"/>
      <c r="E18" s="1" t="s">
        <v>112</v>
      </c>
      <c r="F18" s="1" t="s">
        <v>129</v>
      </c>
      <c r="G18" s="1" t="s">
        <v>114</v>
      </c>
      <c r="H18" s="9"/>
      <c r="I18" s="55" t="s">
        <v>130</v>
      </c>
      <c r="J18" s="1"/>
    </row>
    <row r="19" spans="1:10">
      <c r="A19" s="22" t="s">
        <v>131</v>
      </c>
      <c r="B19" s="23">
        <f t="shared" si="0"/>
        <v>16</v>
      </c>
      <c r="C19" s="23" t="str">
        <f t="shared" si="1"/>
        <v>0010</v>
      </c>
      <c r="D19" s="22"/>
      <c r="E19" s="22" t="s">
        <v>132</v>
      </c>
      <c r="F19" s="22" t="s">
        <v>133</v>
      </c>
      <c r="G19" s="22" t="s">
        <v>114</v>
      </c>
      <c r="H19" s="24"/>
      <c r="I19" s="24"/>
      <c r="J19" s="22"/>
    </row>
    <row r="20" spans="1:10">
      <c r="A20" s="22" t="s">
        <v>134</v>
      </c>
      <c r="B20" s="23">
        <f t="shared" si="0"/>
        <v>17</v>
      </c>
      <c r="C20" s="23" t="str">
        <f t="shared" si="1"/>
        <v>0011</v>
      </c>
      <c r="D20" s="22"/>
      <c r="E20" s="22" t="s">
        <v>132</v>
      </c>
      <c r="F20" s="22" t="s">
        <v>135</v>
      </c>
      <c r="G20" s="22" t="s">
        <v>114</v>
      </c>
      <c r="H20" s="24"/>
      <c r="I20" s="24"/>
      <c r="J20" s="22"/>
    </row>
    <row r="21" spans="1:10">
      <c r="A21" s="22" t="s">
        <v>136</v>
      </c>
      <c r="B21" s="23">
        <f t="shared" si="0"/>
        <v>18</v>
      </c>
      <c r="C21" s="23" t="str">
        <f t="shared" si="1"/>
        <v>0012</v>
      </c>
      <c r="D21" s="22"/>
      <c r="E21" s="22" t="s">
        <v>132</v>
      </c>
      <c r="F21" s="22" t="s">
        <v>137</v>
      </c>
      <c r="G21" s="22" t="s">
        <v>114</v>
      </c>
      <c r="H21" s="24"/>
      <c r="I21" s="24"/>
      <c r="J21" s="22"/>
    </row>
    <row r="22" spans="1:10">
      <c r="A22" s="22" t="s">
        <v>138</v>
      </c>
      <c r="B22" s="23">
        <f t="shared" si="0"/>
        <v>19</v>
      </c>
      <c r="C22" s="23" t="str">
        <f t="shared" si="1"/>
        <v>0013</v>
      </c>
      <c r="D22" s="22"/>
      <c r="E22" s="22" t="s">
        <v>132</v>
      </c>
      <c r="F22" s="22" t="s">
        <v>139</v>
      </c>
      <c r="G22" s="22" t="s">
        <v>114</v>
      </c>
      <c r="H22" s="24"/>
      <c r="I22" s="24"/>
      <c r="J22" s="22"/>
    </row>
    <row r="23" spans="1:10">
      <c r="A23" s="22" t="s">
        <v>895</v>
      </c>
      <c r="B23" s="23">
        <f t="shared" si="0"/>
        <v>20</v>
      </c>
      <c r="C23" s="23" t="str">
        <f t="shared" si="1"/>
        <v>0014</v>
      </c>
      <c r="D23" s="22"/>
      <c r="E23" s="22" t="s">
        <v>132</v>
      </c>
      <c r="F23" s="22" t="s">
        <v>141</v>
      </c>
      <c r="G23" s="22" t="s">
        <v>114</v>
      </c>
      <c r="H23" s="24"/>
      <c r="I23" s="24"/>
      <c r="J23" s="22"/>
    </row>
    <row r="24" spans="1:10">
      <c r="A24" s="22" t="s">
        <v>896</v>
      </c>
      <c r="B24" s="23">
        <f t="shared" si="0"/>
        <v>21</v>
      </c>
      <c r="C24" s="23" t="str">
        <f t="shared" si="1"/>
        <v>0015</v>
      </c>
      <c r="D24" s="22"/>
      <c r="E24" s="22" t="s">
        <v>132</v>
      </c>
      <c r="F24" s="22" t="s">
        <v>143</v>
      </c>
      <c r="G24" s="22" t="s">
        <v>114</v>
      </c>
      <c r="H24" s="24"/>
      <c r="I24" s="24"/>
      <c r="J24" s="22"/>
    </row>
    <row r="25" spans="1:10">
      <c r="A25" s="22" t="s">
        <v>897</v>
      </c>
      <c r="B25" s="23">
        <f t="shared" si="0"/>
        <v>22</v>
      </c>
      <c r="C25" s="23" t="str">
        <f t="shared" si="1"/>
        <v>0016</v>
      </c>
      <c r="D25" s="22"/>
      <c r="E25" s="22" t="s">
        <v>132</v>
      </c>
      <c r="F25" s="23" t="s">
        <v>145</v>
      </c>
      <c r="G25" s="22" t="s">
        <v>114</v>
      </c>
      <c r="H25" s="24"/>
      <c r="I25" s="24"/>
      <c r="J25" s="22"/>
    </row>
    <row r="26" spans="1:10">
      <c r="A26" s="22" t="s">
        <v>898</v>
      </c>
      <c r="B26" s="23">
        <f t="shared" si="0"/>
        <v>23</v>
      </c>
      <c r="C26" s="23" t="str">
        <f t="shared" si="1"/>
        <v>0017</v>
      </c>
      <c r="D26" s="22"/>
      <c r="E26" s="22" t="s">
        <v>132</v>
      </c>
      <c r="F26" s="23" t="s">
        <v>147</v>
      </c>
      <c r="G26" s="22" t="s">
        <v>114</v>
      </c>
      <c r="H26" s="24"/>
      <c r="I26" s="24"/>
      <c r="J26" s="22"/>
    </row>
    <row r="27" spans="1:10">
      <c r="A27" s="22" t="s">
        <v>148</v>
      </c>
      <c r="B27" s="23">
        <f t="shared" si="0"/>
        <v>24</v>
      </c>
      <c r="C27" s="23" t="str">
        <f t="shared" si="1"/>
        <v>0018</v>
      </c>
      <c r="D27" s="22"/>
      <c r="E27" s="22" t="s">
        <v>132</v>
      </c>
      <c r="F27" s="22" t="s">
        <v>149</v>
      </c>
      <c r="G27" s="22" t="s">
        <v>114</v>
      </c>
      <c r="H27" s="24"/>
      <c r="I27" s="24"/>
      <c r="J27" s="22"/>
    </row>
    <row r="28" spans="1:10">
      <c r="A28" s="22" t="s">
        <v>150</v>
      </c>
      <c r="B28" s="23">
        <f t="shared" si="0"/>
        <v>25</v>
      </c>
      <c r="C28" s="23" t="str">
        <f t="shared" si="1"/>
        <v>0019</v>
      </c>
      <c r="D28" s="22"/>
      <c r="E28" s="22" t="s">
        <v>132</v>
      </c>
      <c r="F28" s="22" t="s">
        <v>151</v>
      </c>
      <c r="G28" s="22" t="s">
        <v>114</v>
      </c>
      <c r="H28" s="24"/>
      <c r="I28" s="24"/>
      <c r="J28" s="22"/>
    </row>
    <row r="29" spans="1:10">
      <c r="A29" s="22" t="s">
        <v>152</v>
      </c>
      <c r="B29" s="23">
        <f t="shared" si="0"/>
        <v>26</v>
      </c>
      <c r="C29" s="23" t="str">
        <f t="shared" si="1"/>
        <v>001A</v>
      </c>
      <c r="D29" s="22"/>
      <c r="E29" s="22" t="s">
        <v>132</v>
      </c>
      <c r="F29" s="22" t="s">
        <v>153</v>
      </c>
      <c r="G29" s="22" t="s">
        <v>114</v>
      </c>
      <c r="H29" s="24"/>
      <c r="I29" s="24"/>
      <c r="J29" s="22"/>
    </row>
    <row r="30" spans="1:10">
      <c r="A30" s="22" t="s">
        <v>154</v>
      </c>
      <c r="B30" s="23">
        <f t="shared" si="0"/>
        <v>27</v>
      </c>
      <c r="C30" s="23" t="str">
        <f t="shared" si="1"/>
        <v>001B</v>
      </c>
      <c r="D30" s="22"/>
      <c r="E30" s="22" t="s">
        <v>132</v>
      </c>
      <c r="F30" s="22" t="s">
        <v>155</v>
      </c>
      <c r="G30" s="22" t="s">
        <v>114</v>
      </c>
      <c r="H30" s="24"/>
      <c r="I30" s="24"/>
      <c r="J30" s="22"/>
    </row>
    <row r="31" spans="1:10">
      <c r="A31" s="22" t="s">
        <v>156</v>
      </c>
      <c r="B31" s="23">
        <f t="shared" si="0"/>
        <v>28</v>
      </c>
      <c r="C31" s="23" t="str">
        <f t="shared" si="1"/>
        <v>001C</v>
      </c>
      <c r="D31" s="22"/>
      <c r="E31" s="22" t="s">
        <v>132</v>
      </c>
      <c r="F31" s="23" t="s">
        <v>157</v>
      </c>
      <c r="G31" s="22" t="s">
        <v>114</v>
      </c>
      <c r="H31" s="24"/>
      <c r="I31" s="22"/>
      <c r="J31" s="22"/>
    </row>
    <row r="32" spans="1:10">
      <c r="A32" s="22" t="s">
        <v>158</v>
      </c>
      <c r="B32" s="23">
        <f t="shared" si="0"/>
        <v>29</v>
      </c>
      <c r="C32" s="23" t="str">
        <f t="shared" si="1"/>
        <v>001D</v>
      </c>
      <c r="D32" s="22"/>
      <c r="E32" s="22" t="s">
        <v>132</v>
      </c>
      <c r="F32" s="23" t="s">
        <v>159</v>
      </c>
      <c r="G32" s="22" t="s">
        <v>114</v>
      </c>
      <c r="H32" s="24"/>
      <c r="I32" s="22"/>
      <c r="J32" s="22"/>
    </row>
    <row r="33" spans="1:10">
      <c r="A33" s="22" t="s">
        <v>160</v>
      </c>
      <c r="B33" s="23">
        <f t="shared" si="0"/>
        <v>30</v>
      </c>
      <c r="C33" s="23" t="str">
        <f t="shared" si="1"/>
        <v>001E</v>
      </c>
      <c r="D33" s="22"/>
      <c r="E33" s="22" t="s">
        <v>132</v>
      </c>
      <c r="F33" s="22" t="s">
        <v>161</v>
      </c>
      <c r="G33" s="22" t="s">
        <v>114</v>
      </c>
      <c r="H33" s="24"/>
      <c r="I33" s="24"/>
      <c r="J33" s="22"/>
    </row>
    <row r="34" spans="1:10">
      <c r="A34" s="22" t="s">
        <v>162</v>
      </c>
      <c r="B34" s="23">
        <f t="shared" si="0"/>
        <v>31</v>
      </c>
      <c r="C34" s="23" t="str">
        <f t="shared" si="1"/>
        <v>001F</v>
      </c>
      <c r="D34" s="22"/>
      <c r="E34" s="22" t="s">
        <v>132</v>
      </c>
      <c r="F34" s="22" t="s">
        <v>163</v>
      </c>
      <c r="G34" s="22" t="s">
        <v>114</v>
      </c>
      <c r="H34" s="24"/>
      <c r="I34" s="24"/>
      <c r="J34" s="22"/>
    </row>
    <row r="35" spans="1:10">
      <c r="A35" s="22" t="s">
        <v>164</v>
      </c>
      <c r="B35" s="23">
        <f t="shared" ref="B35:B66" si="2">$B$2+A35-1</f>
        <v>32</v>
      </c>
      <c r="C35" s="23" t="str">
        <f t="shared" ref="C35:C66" si="3">DEC2HEX(B35,4)</f>
        <v>0020</v>
      </c>
      <c r="E35" s="22" t="s">
        <v>132</v>
      </c>
      <c r="F35" s="22" t="s">
        <v>165</v>
      </c>
      <c r="G35" s="22" t="s">
        <v>114</v>
      </c>
    </row>
    <row r="36" spans="1:10">
      <c r="A36" s="22" t="s">
        <v>166</v>
      </c>
      <c r="B36" s="23">
        <f t="shared" si="2"/>
        <v>33</v>
      </c>
      <c r="C36" s="23" t="str">
        <f t="shared" si="3"/>
        <v>0021</v>
      </c>
      <c r="E36" s="22" t="s">
        <v>132</v>
      </c>
      <c r="F36" s="22" t="s">
        <v>167</v>
      </c>
      <c r="G36" s="22" t="s">
        <v>114</v>
      </c>
    </row>
    <row r="37" spans="1:10">
      <c r="A37" s="22" t="s">
        <v>168</v>
      </c>
      <c r="B37" s="23">
        <f t="shared" si="2"/>
        <v>34</v>
      </c>
      <c r="C37" s="23" t="str">
        <f t="shared" si="3"/>
        <v>0022</v>
      </c>
      <c r="E37" s="22" t="s">
        <v>132</v>
      </c>
      <c r="F37" s="23" t="s">
        <v>169</v>
      </c>
      <c r="G37" s="22" t="s">
        <v>114</v>
      </c>
    </row>
    <row r="38" spans="1:10">
      <c r="A38" s="22" t="s">
        <v>170</v>
      </c>
      <c r="B38" s="23">
        <f t="shared" si="2"/>
        <v>35</v>
      </c>
      <c r="C38" s="23" t="str">
        <f t="shared" si="3"/>
        <v>0023</v>
      </c>
      <c r="E38" s="22" t="s">
        <v>132</v>
      </c>
      <c r="F38" s="23" t="s">
        <v>171</v>
      </c>
      <c r="G38" s="22" t="s">
        <v>114</v>
      </c>
    </row>
    <row r="39" spans="1:10">
      <c r="A39" s="22" t="s">
        <v>172</v>
      </c>
      <c r="B39" s="23">
        <f t="shared" si="2"/>
        <v>36</v>
      </c>
      <c r="C39" s="23" t="str">
        <f t="shared" si="3"/>
        <v>0024</v>
      </c>
      <c r="E39" s="22" t="s">
        <v>132</v>
      </c>
      <c r="F39" s="23" t="s">
        <v>173</v>
      </c>
      <c r="G39" s="22" t="s">
        <v>114</v>
      </c>
    </row>
    <row r="40" spans="1:10">
      <c r="A40" s="22" t="s">
        <v>174</v>
      </c>
      <c r="B40" s="23">
        <f t="shared" si="2"/>
        <v>37</v>
      </c>
      <c r="C40" s="23" t="str">
        <f t="shared" si="3"/>
        <v>0025</v>
      </c>
      <c r="E40" s="22" t="s">
        <v>132</v>
      </c>
      <c r="F40" s="23" t="s">
        <v>175</v>
      </c>
      <c r="G40" s="22" t="s">
        <v>114</v>
      </c>
    </row>
    <row r="41" spans="1:10">
      <c r="A41" s="22" t="s">
        <v>176</v>
      </c>
      <c r="B41" s="23">
        <f t="shared" si="2"/>
        <v>38</v>
      </c>
      <c r="C41" s="23" t="str">
        <f t="shared" si="3"/>
        <v>0026</v>
      </c>
    </row>
    <row r="42" spans="1:10">
      <c r="A42" s="22" t="s">
        <v>177</v>
      </c>
      <c r="B42" s="23">
        <f t="shared" si="2"/>
        <v>39</v>
      </c>
      <c r="C42" s="23" t="str">
        <f t="shared" si="3"/>
        <v>0027</v>
      </c>
    </row>
    <row r="43" spans="1:10">
      <c r="A43" s="22" t="s">
        <v>178</v>
      </c>
      <c r="B43" s="23">
        <f t="shared" si="2"/>
        <v>40</v>
      </c>
      <c r="C43" s="23" t="str">
        <f t="shared" si="3"/>
        <v>0028</v>
      </c>
    </row>
    <row r="44" spans="1:10">
      <c r="A44" s="22" t="s">
        <v>179</v>
      </c>
      <c r="B44" s="23">
        <f t="shared" si="2"/>
        <v>41</v>
      </c>
      <c r="C44" s="23" t="str">
        <f t="shared" si="3"/>
        <v>0029</v>
      </c>
    </row>
    <row r="45" spans="1:10">
      <c r="A45" s="22" t="s">
        <v>180</v>
      </c>
      <c r="B45" s="23">
        <f t="shared" si="2"/>
        <v>42</v>
      </c>
      <c r="C45" s="23" t="str">
        <f t="shared" si="3"/>
        <v>002A</v>
      </c>
      <c r="E45" s="22"/>
      <c r="F45" s="7"/>
      <c r="G45" s="6"/>
      <c r="H45" s="6"/>
      <c r="I45" s="17"/>
    </row>
    <row r="46" spans="1:10">
      <c r="A46" s="22" t="s">
        <v>181</v>
      </c>
      <c r="B46" s="23">
        <f t="shared" si="2"/>
        <v>43</v>
      </c>
      <c r="C46" s="23" t="str">
        <f t="shared" si="3"/>
        <v>002B</v>
      </c>
      <c r="E46" s="22"/>
      <c r="F46" s="8"/>
      <c r="G46" s="8"/>
      <c r="H46" s="17"/>
      <c r="I46" s="17"/>
    </row>
    <row r="47" spans="1:10">
      <c r="A47" s="22" t="s">
        <v>182</v>
      </c>
      <c r="B47" s="23">
        <f t="shared" si="2"/>
        <v>44</v>
      </c>
      <c r="C47" s="23" t="str">
        <f t="shared" si="3"/>
        <v>002C</v>
      </c>
    </row>
    <row r="48" spans="1:10">
      <c r="A48" s="22" t="s">
        <v>183</v>
      </c>
      <c r="B48" s="23">
        <f t="shared" si="2"/>
        <v>45</v>
      </c>
      <c r="C48" s="23" t="str">
        <f t="shared" si="3"/>
        <v>002D</v>
      </c>
    </row>
    <row r="49" spans="1:9">
      <c r="A49" s="22" t="s">
        <v>184</v>
      </c>
      <c r="B49" s="23">
        <f t="shared" si="2"/>
        <v>46</v>
      </c>
      <c r="C49" s="23" t="str">
        <f t="shared" si="3"/>
        <v>002E</v>
      </c>
    </row>
    <row r="50" spans="1:9">
      <c r="A50" s="22" t="s">
        <v>185</v>
      </c>
      <c r="B50" s="23">
        <f t="shared" si="2"/>
        <v>47</v>
      </c>
      <c r="C50" s="23" t="str">
        <f t="shared" si="3"/>
        <v>002F</v>
      </c>
    </row>
    <row r="51" spans="1:9">
      <c r="A51" s="22" t="s">
        <v>186</v>
      </c>
      <c r="B51" s="23">
        <f t="shared" si="2"/>
        <v>48</v>
      </c>
      <c r="C51" s="23" t="str">
        <f t="shared" si="3"/>
        <v>0030</v>
      </c>
    </row>
    <row r="52" spans="1:9">
      <c r="A52" s="22" t="s">
        <v>187</v>
      </c>
      <c r="B52" s="23">
        <f t="shared" si="2"/>
        <v>49</v>
      </c>
      <c r="C52" s="23" t="str">
        <f t="shared" si="3"/>
        <v>0031</v>
      </c>
    </row>
    <row r="53" spans="1:9">
      <c r="A53" s="22" t="s">
        <v>188</v>
      </c>
      <c r="B53" s="23">
        <f t="shared" si="2"/>
        <v>50</v>
      </c>
      <c r="C53" s="23" t="str">
        <f t="shared" si="3"/>
        <v>0032</v>
      </c>
    </row>
    <row r="54" spans="1:9">
      <c r="A54" s="22" t="s">
        <v>189</v>
      </c>
      <c r="B54" s="23">
        <f t="shared" si="2"/>
        <v>51</v>
      </c>
      <c r="C54" s="23" t="str">
        <f t="shared" si="3"/>
        <v>0033</v>
      </c>
    </row>
    <row r="55" spans="1:9">
      <c r="A55" s="22" t="s">
        <v>190</v>
      </c>
      <c r="B55" s="23">
        <f t="shared" si="2"/>
        <v>52</v>
      </c>
      <c r="C55" s="23" t="str">
        <f t="shared" si="3"/>
        <v>0034</v>
      </c>
      <c r="E55" s="22"/>
      <c r="F55" s="22"/>
      <c r="G55" s="22"/>
    </row>
    <row r="56" spans="1:9">
      <c r="A56" s="22" t="s">
        <v>191</v>
      </c>
      <c r="B56" s="23">
        <f t="shared" si="2"/>
        <v>53</v>
      </c>
      <c r="C56" s="23" t="str">
        <f t="shared" si="3"/>
        <v>0035</v>
      </c>
      <c r="E56" s="22"/>
      <c r="F56" s="22"/>
      <c r="G56" s="22"/>
    </row>
    <row r="57" spans="1:9">
      <c r="A57" s="22" t="s">
        <v>192</v>
      </c>
      <c r="B57" s="23">
        <f t="shared" si="2"/>
        <v>54</v>
      </c>
      <c r="C57" s="23" t="str">
        <f t="shared" si="3"/>
        <v>0036</v>
      </c>
    </row>
    <row r="58" spans="1:9">
      <c r="A58" s="22" t="s">
        <v>193</v>
      </c>
      <c r="B58" s="23">
        <f t="shared" si="2"/>
        <v>55</v>
      </c>
      <c r="C58" s="23" t="str">
        <f t="shared" si="3"/>
        <v>0037</v>
      </c>
    </row>
    <row r="59" spans="1:9" s="3" customFormat="1" ht="45">
      <c r="A59" s="1" t="s">
        <v>194</v>
      </c>
      <c r="B59" s="4">
        <f t="shared" si="2"/>
        <v>56</v>
      </c>
      <c r="C59" s="4" t="str">
        <f t="shared" si="3"/>
        <v>0038</v>
      </c>
      <c r="E59" s="1" t="s">
        <v>132</v>
      </c>
      <c r="F59" s="4" t="s">
        <v>195</v>
      </c>
      <c r="G59" s="50" t="s">
        <v>114</v>
      </c>
      <c r="H59" s="62"/>
      <c r="I59" s="62" t="s">
        <v>196</v>
      </c>
    </row>
    <row r="60" spans="1:9" s="3" customFormat="1" ht="30">
      <c r="A60" s="1" t="s">
        <v>197</v>
      </c>
      <c r="B60" s="4">
        <f t="shared" si="2"/>
        <v>57</v>
      </c>
      <c r="C60" s="4" t="str">
        <f t="shared" si="3"/>
        <v>0039</v>
      </c>
      <c r="E60" s="1" t="s">
        <v>132</v>
      </c>
      <c r="F60" s="4" t="s">
        <v>198</v>
      </c>
      <c r="G60" s="50" t="s">
        <v>114</v>
      </c>
      <c r="H60" s="49"/>
      <c r="I60" s="62" t="s">
        <v>199</v>
      </c>
    </row>
    <row r="61" spans="1:9">
      <c r="A61" s="22" t="s">
        <v>200</v>
      </c>
      <c r="B61" s="23">
        <f t="shared" si="2"/>
        <v>58</v>
      </c>
      <c r="C61" s="23" t="str">
        <f t="shared" si="3"/>
        <v>003A</v>
      </c>
      <c r="E61" s="22" t="s">
        <v>132</v>
      </c>
      <c r="F61" s="23" t="s">
        <v>201</v>
      </c>
    </row>
    <row r="62" spans="1:9">
      <c r="A62" s="22" t="s">
        <v>202</v>
      </c>
      <c r="B62" s="23">
        <f t="shared" si="2"/>
        <v>59</v>
      </c>
      <c r="C62" s="23" t="str">
        <f t="shared" si="3"/>
        <v>003B</v>
      </c>
      <c r="E62" s="22" t="s">
        <v>132</v>
      </c>
      <c r="F62" s="23" t="s">
        <v>203</v>
      </c>
    </row>
    <row r="63" spans="1:9" s="49" customFormat="1">
      <c r="A63" s="50" t="s">
        <v>204</v>
      </c>
      <c r="B63" s="51">
        <f t="shared" si="2"/>
        <v>60</v>
      </c>
      <c r="C63" s="51" t="str">
        <f t="shared" si="3"/>
        <v>003C</v>
      </c>
      <c r="E63" s="50" t="s">
        <v>132</v>
      </c>
      <c r="F63" s="50" t="s">
        <v>205</v>
      </c>
    </row>
    <row r="64" spans="1:9" s="49" customFormat="1">
      <c r="A64" s="50" t="s">
        <v>206</v>
      </c>
      <c r="B64" s="51">
        <f t="shared" si="2"/>
        <v>61</v>
      </c>
      <c r="C64" s="51" t="str">
        <f t="shared" si="3"/>
        <v>003D</v>
      </c>
      <c r="E64" s="50" t="s">
        <v>132</v>
      </c>
      <c r="F64" s="50" t="s">
        <v>207</v>
      </c>
    </row>
    <row r="65" spans="1:7">
      <c r="A65" s="22" t="s">
        <v>208</v>
      </c>
      <c r="B65" s="23">
        <f t="shared" si="2"/>
        <v>62</v>
      </c>
      <c r="C65" s="23" t="str">
        <f t="shared" si="3"/>
        <v>003E</v>
      </c>
      <c r="E65" s="22" t="s">
        <v>132</v>
      </c>
      <c r="F65" s="22" t="s">
        <v>209</v>
      </c>
      <c r="G65" s="22"/>
    </row>
    <row r="66" spans="1:7">
      <c r="A66" s="22" t="s">
        <v>210</v>
      </c>
      <c r="B66" s="23">
        <f t="shared" si="2"/>
        <v>63</v>
      </c>
      <c r="C66" s="23" t="str">
        <f t="shared" si="3"/>
        <v>003F</v>
      </c>
      <c r="E66" s="22" t="s">
        <v>132</v>
      </c>
      <c r="F66" s="22" t="s">
        <v>211</v>
      </c>
      <c r="G66" s="2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9"/>
  <sheetViews>
    <sheetView zoomScale="115" zoomScaleNormal="115" workbookViewId="0">
      <selection activeCell="F9" sqref="F9"/>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20.85546875" customWidth="1"/>
    <col min="8" max="8" width="8.140625" customWidth="1"/>
    <col min="9" max="9" width="32.85546875" customWidth="1"/>
    <col min="10" max="10" width="7.5703125" customWidth="1"/>
    <col min="12" max="12" width="34.140625" customWidth="1"/>
  </cols>
  <sheetData>
    <row r="1" spans="1:12">
      <c r="A1" s="22" t="s">
        <v>99</v>
      </c>
      <c r="B1" s="22" t="s">
        <v>100</v>
      </c>
      <c r="C1" s="22" t="s">
        <v>101</v>
      </c>
      <c r="D1" s="22" t="s">
        <v>102</v>
      </c>
      <c r="E1" s="22" t="s">
        <v>103</v>
      </c>
      <c r="F1" s="22" t="s">
        <v>104</v>
      </c>
      <c r="G1" s="22" t="s">
        <v>105</v>
      </c>
      <c r="H1" s="22" t="s">
        <v>106</v>
      </c>
      <c r="I1" s="22" t="s">
        <v>107</v>
      </c>
      <c r="J1" s="22" t="s">
        <v>108</v>
      </c>
      <c r="K1" s="22" t="s">
        <v>109</v>
      </c>
    </row>
    <row r="2" spans="1:12">
      <c r="A2" s="22"/>
      <c r="B2" s="22">
        <f>HEX2DEC(C2)</f>
        <v>64</v>
      </c>
      <c r="C2" s="22" t="s">
        <v>212</v>
      </c>
      <c r="D2" s="22"/>
      <c r="E2" s="22"/>
      <c r="F2" s="22" t="s">
        <v>213</v>
      </c>
      <c r="G2" s="22"/>
      <c r="H2" s="25"/>
      <c r="I2" s="25"/>
      <c r="J2" s="22"/>
    </row>
    <row r="3" spans="1:12" s="49" customFormat="1">
      <c r="A3" s="50" t="s">
        <v>76</v>
      </c>
      <c r="B3" s="51">
        <f t="shared" ref="B3:B34" si="0">$B$2+A3-1</f>
        <v>64</v>
      </c>
      <c r="C3" s="51" t="str">
        <f t="shared" ref="C3:C34" si="1">DEC2HEX(B3,4)</f>
        <v>0040</v>
      </c>
      <c r="D3" s="50"/>
      <c r="E3" s="50" t="s">
        <v>132</v>
      </c>
      <c r="F3" s="50" t="s">
        <v>214</v>
      </c>
      <c r="G3" s="50" t="s">
        <v>114</v>
      </c>
      <c r="H3" s="58"/>
      <c r="I3" s="49" t="s">
        <v>215</v>
      </c>
      <c r="J3" s="50"/>
      <c r="L3" s="54"/>
    </row>
    <row r="4" spans="1:12" s="49" customFormat="1" ht="45">
      <c r="A4" s="50" t="s">
        <v>94</v>
      </c>
      <c r="B4" s="51">
        <f t="shared" si="0"/>
        <v>65</v>
      </c>
      <c r="C4" s="51" t="str">
        <f t="shared" si="1"/>
        <v>0041</v>
      </c>
      <c r="D4" s="50"/>
      <c r="E4" s="50" t="s">
        <v>132</v>
      </c>
      <c r="F4" s="51" t="s">
        <v>216</v>
      </c>
      <c r="G4" s="50" t="s">
        <v>114</v>
      </c>
      <c r="I4" s="54" t="s">
        <v>217</v>
      </c>
      <c r="J4" s="50"/>
    </row>
    <row r="5" spans="1:12">
      <c r="A5" s="22" t="s">
        <v>115</v>
      </c>
      <c r="B5" s="23">
        <f t="shared" si="0"/>
        <v>66</v>
      </c>
      <c r="C5" s="23" t="str">
        <f t="shared" si="1"/>
        <v>0042</v>
      </c>
      <c r="D5" s="22"/>
      <c r="E5" s="1" t="s">
        <v>132</v>
      </c>
      <c r="F5" s="4" t="s">
        <v>218</v>
      </c>
      <c r="G5" s="1" t="s">
        <v>114</v>
      </c>
      <c r="H5" s="3"/>
      <c r="I5" s="9"/>
      <c r="J5" s="22"/>
    </row>
    <row r="6" spans="1:12">
      <c r="A6" s="22" t="s">
        <v>116</v>
      </c>
      <c r="B6" s="23">
        <f t="shared" si="0"/>
        <v>67</v>
      </c>
      <c r="C6" s="23" t="str">
        <f t="shared" si="1"/>
        <v>0043</v>
      </c>
      <c r="D6" s="22"/>
      <c r="E6" s="1" t="s">
        <v>132</v>
      </c>
      <c r="F6" s="4" t="s">
        <v>219</v>
      </c>
      <c r="G6" s="1" t="s">
        <v>114</v>
      </c>
      <c r="H6" s="3"/>
      <c r="I6" s="9"/>
      <c r="J6" s="22"/>
    </row>
    <row r="7" spans="1:12">
      <c r="A7" s="22" t="s">
        <v>117</v>
      </c>
      <c r="B7" s="23">
        <f t="shared" si="0"/>
        <v>68</v>
      </c>
      <c r="C7" s="23" t="str">
        <f t="shared" si="1"/>
        <v>0044</v>
      </c>
      <c r="D7" s="22"/>
      <c r="E7" s="1" t="s">
        <v>132</v>
      </c>
      <c r="F7" s="1" t="s">
        <v>220</v>
      </c>
      <c r="G7" s="1" t="s">
        <v>114</v>
      </c>
      <c r="H7" s="3"/>
      <c r="I7" s="9"/>
      <c r="J7" s="22"/>
    </row>
    <row r="8" spans="1:12" s="56" customFormat="1">
      <c r="A8" s="52" t="s">
        <v>118</v>
      </c>
      <c r="B8" s="53">
        <f t="shared" si="0"/>
        <v>69</v>
      </c>
      <c r="C8" s="53" t="str">
        <f t="shared" si="1"/>
        <v>0045</v>
      </c>
      <c r="D8" s="52"/>
      <c r="E8" s="50" t="s">
        <v>132</v>
      </c>
      <c r="F8" s="50" t="s">
        <v>221</v>
      </c>
      <c r="G8" s="50" t="s">
        <v>114</v>
      </c>
      <c r="H8" s="49"/>
      <c r="I8" s="58"/>
      <c r="J8" s="52"/>
    </row>
    <row r="9" spans="1:12" s="3" customFormat="1" ht="225">
      <c r="A9" s="1" t="s">
        <v>119</v>
      </c>
      <c r="B9" s="4">
        <f t="shared" si="0"/>
        <v>70</v>
      </c>
      <c r="C9" s="4" t="str">
        <f t="shared" si="1"/>
        <v>0046</v>
      </c>
      <c r="D9" s="1"/>
      <c r="E9" s="1" t="s">
        <v>132</v>
      </c>
      <c r="F9" s="1" t="s">
        <v>222</v>
      </c>
      <c r="G9" s="1" t="s">
        <v>114</v>
      </c>
      <c r="I9" s="55" t="s">
        <v>223</v>
      </c>
      <c r="J9" s="1"/>
    </row>
    <row r="10" spans="1:12" s="3" customFormat="1" ht="240">
      <c r="A10" s="1" t="s">
        <v>120</v>
      </c>
      <c r="B10" s="4">
        <f t="shared" si="0"/>
        <v>71</v>
      </c>
      <c r="C10" s="4" t="str">
        <f t="shared" si="1"/>
        <v>0047</v>
      </c>
      <c r="D10" s="1"/>
      <c r="E10" s="1" t="s">
        <v>132</v>
      </c>
      <c r="F10" s="1" t="s">
        <v>224</v>
      </c>
      <c r="G10" s="1" t="s">
        <v>114</v>
      </c>
      <c r="I10" s="55" t="s">
        <v>225</v>
      </c>
      <c r="J10" s="1"/>
      <c r="L10" s="21"/>
    </row>
    <row r="11" spans="1:12" s="3" customFormat="1" ht="195">
      <c r="A11" s="1" t="s">
        <v>121</v>
      </c>
      <c r="B11" s="4">
        <f t="shared" si="0"/>
        <v>72</v>
      </c>
      <c r="C11" s="4" t="str">
        <f t="shared" si="1"/>
        <v>0048</v>
      </c>
      <c r="D11" s="1"/>
      <c r="E11" s="1" t="s">
        <v>132</v>
      </c>
      <c r="F11" s="1" t="s">
        <v>226</v>
      </c>
      <c r="G11" s="1" t="s">
        <v>114</v>
      </c>
      <c r="I11" s="55" t="s">
        <v>227</v>
      </c>
      <c r="J11" s="1"/>
    </row>
    <row r="12" spans="1:12" s="57" customFormat="1" ht="225">
      <c r="A12" s="59" t="s">
        <v>91</v>
      </c>
      <c r="B12" s="44">
        <f t="shared" si="0"/>
        <v>73</v>
      </c>
      <c r="C12" s="44" t="str">
        <f t="shared" si="1"/>
        <v>0049</v>
      </c>
      <c r="D12" s="59"/>
      <c r="E12" s="59" t="s">
        <v>132</v>
      </c>
      <c r="F12" s="59" t="s">
        <v>228</v>
      </c>
      <c r="G12" s="59" t="s">
        <v>114</v>
      </c>
      <c r="I12" s="60" t="s">
        <v>229</v>
      </c>
      <c r="J12" s="59"/>
      <c r="L12" s="61"/>
    </row>
    <row r="13" spans="1:12">
      <c r="A13" s="22" t="s">
        <v>122</v>
      </c>
      <c r="B13" s="23">
        <f t="shared" si="0"/>
        <v>74</v>
      </c>
      <c r="C13" s="23" t="str">
        <f t="shared" si="1"/>
        <v>004A</v>
      </c>
      <c r="D13" s="22"/>
      <c r="E13" s="1"/>
      <c r="F13" s="4"/>
      <c r="G13" s="1"/>
      <c r="H13" s="3"/>
      <c r="I13" s="9"/>
      <c r="J13" s="22"/>
    </row>
    <row r="14" spans="1:12">
      <c r="A14" s="22" t="s">
        <v>124</v>
      </c>
      <c r="B14" s="23">
        <f t="shared" si="0"/>
        <v>75</v>
      </c>
      <c r="C14" s="23" t="str">
        <f t="shared" si="1"/>
        <v>004B</v>
      </c>
      <c r="D14" s="22"/>
      <c r="E14" s="3"/>
      <c r="F14" s="3"/>
      <c r="G14" s="3"/>
      <c r="H14" s="3"/>
      <c r="I14" s="9"/>
      <c r="J14" s="22"/>
    </row>
    <row r="15" spans="1:12">
      <c r="A15" s="22" t="s">
        <v>125</v>
      </c>
      <c r="B15" s="23">
        <f t="shared" si="0"/>
        <v>76</v>
      </c>
      <c r="C15" s="23" t="str">
        <f t="shared" si="1"/>
        <v>004C</v>
      </c>
      <c r="D15" s="22"/>
      <c r="E15" s="3"/>
      <c r="F15" s="3"/>
      <c r="G15" s="3"/>
      <c r="H15" s="3"/>
      <c r="I15" s="9"/>
      <c r="J15" s="22"/>
    </row>
    <row r="16" spans="1:12">
      <c r="A16" s="22" t="s">
        <v>126</v>
      </c>
      <c r="B16" s="23">
        <f t="shared" si="0"/>
        <v>77</v>
      </c>
      <c r="C16" s="23" t="str">
        <f t="shared" si="1"/>
        <v>004D</v>
      </c>
      <c r="D16" s="22"/>
      <c r="E16" s="3"/>
      <c r="F16" s="3"/>
      <c r="G16" s="3"/>
      <c r="H16" s="3"/>
      <c r="I16" s="9"/>
      <c r="J16" s="22"/>
    </row>
    <row r="17" spans="1:10">
      <c r="A17" s="22" t="s">
        <v>127</v>
      </c>
      <c r="B17" s="23">
        <f t="shared" si="0"/>
        <v>78</v>
      </c>
      <c r="C17" s="23" t="str">
        <f t="shared" si="1"/>
        <v>004E</v>
      </c>
      <c r="D17" s="22"/>
      <c r="E17" s="3"/>
      <c r="F17" s="3"/>
      <c r="G17" s="3"/>
      <c r="H17" s="3"/>
      <c r="I17" s="9"/>
      <c r="J17" s="22"/>
    </row>
    <row r="18" spans="1:10">
      <c r="A18" s="22" t="s">
        <v>128</v>
      </c>
      <c r="B18" s="23">
        <f t="shared" si="0"/>
        <v>79</v>
      </c>
      <c r="C18" s="23" t="str">
        <f t="shared" si="1"/>
        <v>004F</v>
      </c>
      <c r="D18" s="22"/>
      <c r="E18" s="3"/>
      <c r="F18" s="3"/>
      <c r="G18" s="3"/>
      <c r="H18" s="3"/>
      <c r="I18" s="9"/>
      <c r="J18" s="22"/>
    </row>
    <row r="19" spans="1:10">
      <c r="A19" s="22" t="s">
        <v>131</v>
      </c>
      <c r="B19" s="23">
        <f t="shared" si="0"/>
        <v>80</v>
      </c>
      <c r="C19" s="23" t="str">
        <f t="shared" si="1"/>
        <v>0050</v>
      </c>
      <c r="D19" s="22"/>
      <c r="E19" s="1" t="s">
        <v>132</v>
      </c>
      <c r="F19" s="1" t="s">
        <v>230</v>
      </c>
      <c r="G19" s="1" t="s">
        <v>231</v>
      </c>
      <c r="H19" s="9" t="s">
        <v>232</v>
      </c>
      <c r="I19" s="9"/>
      <c r="J19" s="22"/>
    </row>
    <row r="20" spans="1:10">
      <c r="A20" s="22" t="s">
        <v>134</v>
      </c>
      <c r="B20" s="23">
        <f t="shared" si="0"/>
        <v>81</v>
      </c>
      <c r="C20" s="23" t="str">
        <f t="shared" si="1"/>
        <v>0051</v>
      </c>
      <c r="D20" s="22"/>
      <c r="E20" s="1" t="s">
        <v>132</v>
      </c>
      <c r="F20" s="1" t="s">
        <v>233</v>
      </c>
      <c r="G20" s="1" t="s">
        <v>231</v>
      </c>
      <c r="H20" s="9" t="s">
        <v>234</v>
      </c>
      <c r="I20" s="9"/>
      <c r="J20" s="22"/>
    </row>
    <row r="21" spans="1:10">
      <c r="A21" s="22" t="s">
        <v>136</v>
      </c>
      <c r="B21" s="23">
        <f t="shared" si="0"/>
        <v>82</v>
      </c>
      <c r="C21" s="23" t="str">
        <f t="shared" si="1"/>
        <v>0052</v>
      </c>
      <c r="D21" s="22"/>
      <c r="E21" s="1" t="s">
        <v>132</v>
      </c>
      <c r="F21" s="1" t="s">
        <v>235</v>
      </c>
      <c r="G21" s="1" t="s">
        <v>231</v>
      </c>
      <c r="H21" s="9" t="s">
        <v>236</v>
      </c>
      <c r="I21" s="9"/>
      <c r="J21" s="22"/>
    </row>
    <row r="22" spans="1:10">
      <c r="A22" s="22" t="s">
        <v>138</v>
      </c>
      <c r="B22" s="23">
        <f t="shared" si="0"/>
        <v>83</v>
      </c>
      <c r="C22" s="23" t="str">
        <f t="shared" si="1"/>
        <v>0053</v>
      </c>
      <c r="D22" s="22"/>
      <c r="E22" s="1" t="s">
        <v>132</v>
      </c>
      <c r="F22" s="1" t="s">
        <v>237</v>
      </c>
      <c r="G22" s="1" t="s">
        <v>231</v>
      </c>
      <c r="H22" s="9" t="s">
        <v>238</v>
      </c>
      <c r="I22" s="9"/>
      <c r="J22" s="22"/>
    </row>
    <row r="23" spans="1:10">
      <c r="A23" s="22" t="s">
        <v>140</v>
      </c>
      <c r="B23" s="23" t="e">
        <f t="shared" si="0"/>
        <v>#VALUE!</v>
      </c>
      <c r="C23" s="23" t="e">
        <f t="shared" si="1"/>
        <v>#VALUE!</v>
      </c>
      <c r="D23" s="22"/>
      <c r="E23" s="1" t="s">
        <v>132</v>
      </c>
      <c r="F23" s="1" t="s">
        <v>239</v>
      </c>
      <c r="G23" s="1" t="s">
        <v>231</v>
      </c>
      <c r="H23" s="9" t="s">
        <v>232</v>
      </c>
      <c r="I23" s="9"/>
      <c r="J23" s="22"/>
    </row>
    <row r="24" spans="1:10">
      <c r="A24" s="22" t="s">
        <v>142</v>
      </c>
      <c r="B24" s="23" t="e">
        <f t="shared" si="0"/>
        <v>#VALUE!</v>
      </c>
      <c r="C24" s="23" t="e">
        <f t="shared" si="1"/>
        <v>#VALUE!</v>
      </c>
      <c r="D24" s="22"/>
      <c r="E24" s="1" t="s">
        <v>132</v>
      </c>
      <c r="F24" s="1" t="s">
        <v>240</v>
      </c>
      <c r="G24" s="1" t="s">
        <v>231</v>
      </c>
      <c r="H24" s="9" t="s">
        <v>234</v>
      </c>
      <c r="I24" s="9"/>
      <c r="J24" s="22"/>
    </row>
    <row r="25" spans="1:10">
      <c r="A25" s="22" t="s">
        <v>144</v>
      </c>
      <c r="B25" s="23" t="e">
        <f t="shared" si="0"/>
        <v>#VALUE!</v>
      </c>
      <c r="C25" s="23" t="e">
        <f t="shared" si="1"/>
        <v>#VALUE!</v>
      </c>
      <c r="D25" s="22"/>
      <c r="E25" s="1" t="s">
        <v>132</v>
      </c>
      <c r="F25" s="1" t="s">
        <v>241</v>
      </c>
      <c r="G25" s="1" t="s">
        <v>231</v>
      </c>
      <c r="H25" s="9" t="s">
        <v>236</v>
      </c>
      <c r="I25" s="9"/>
      <c r="J25" s="22"/>
    </row>
    <row r="26" spans="1:10">
      <c r="A26" s="22" t="s">
        <v>146</v>
      </c>
      <c r="B26" s="23" t="e">
        <f t="shared" si="0"/>
        <v>#VALUE!</v>
      </c>
      <c r="C26" s="23" t="e">
        <f t="shared" si="1"/>
        <v>#VALUE!</v>
      </c>
      <c r="D26" s="22"/>
      <c r="E26" s="1" t="s">
        <v>132</v>
      </c>
      <c r="F26" s="1" t="s">
        <v>242</v>
      </c>
      <c r="G26" s="1" t="s">
        <v>231</v>
      </c>
      <c r="H26" s="9" t="s">
        <v>238</v>
      </c>
      <c r="I26" s="9"/>
      <c r="J26" s="22"/>
    </row>
    <row r="27" spans="1:10">
      <c r="A27" s="22" t="s">
        <v>148</v>
      </c>
      <c r="B27" s="23">
        <f t="shared" si="0"/>
        <v>88</v>
      </c>
      <c r="C27" s="23" t="str">
        <f t="shared" si="1"/>
        <v>0058</v>
      </c>
      <c r="D27" s="22"/>
      <c r="E27" s="1" t="s">
        <v>132</v>
      </c>
      <c r="F27" s="1" t="s">
        <v>243</v>
      </c>
      <c r="G27" s="1" t="s">
        <v>231</v>
      </c>
      <c r="H27" s="9" t="s">
        <v>232</v>
      </c>
      <c r="I27" s="9"/>
      <c r="J27" s="22"/>
    </row>
    <row r="28" spans="1:10">
      <c r="A28" s="22" t="s">
        <v>150</v>
      </c>
      <c r="B28" s="23">
        <f t="shared" si="0"/>
        <v>89</v>
      </c>
      <c r="C28" s="23" t="str">
        <f t="shared" si="1"/>
        <v>0059</v>
      </c>
      <c r="D28" s="22"/>
      <c r="E28" s="1" t="s">
        <v>132</v>
      </c>
      <c r="F28" s="1" t="s">
        <v>244</v>
      </c>
      <c r="G28" s="1" t="s">
        <v>231</v>
      </c>
      <c r="H28" s="9" t="s">
        <v>234</v>
      </c>
      <c r="I28" s="9"/>
      <c r="J28" s="22"/>
    </row>
    <row r="29" spans="1:10">
      <c r="A29" s="22" t="s">
        <v>152</v>
      </c>
      <c r="B29" s="23">
        <f t="shared" si="0"/>
        <v>90</v>
      </c>
      <c r="C29" s="23" t="str">
        <f t="shared" si="1"/>
        <v>005A</v>
      </c>
      <c r="D29" s="22"/>
      <c r="E29" s="1" t="s">
        <v>132</v>
      </c>
      <c r="F29" s="1" t="s">
        <v>245</v>
      </c>
      <c r="G29" s="1" t="s">
        <v>231</v>
      </c>
      <c r="H29" s="9" t="s">
        <v>236</v>
      </c>
      <c r="I29" s="9"/>
      <c r="J29" s="22"/>
    </row>
    <row r="30" spans="1:10">
      <c r="A30" s="22" t="s">
        <v>154</v>
      </c>
      <c r="B30" s="23">
        <f t="shared" si="0"/>
        <v>91</v>
      </c>
      <c r="C30" s="23" t="str">
        <f t="shared" si="1"/>
        <v>005B</v>
      </c>
      <c r="D30" s="22"/>
      <c r="E30" s="1" t="s">
        <v>132</v>
      </c>
      <c r="F30" s="1" t="s">
        <v>246</v>
      </c>
      <c r="G30" s="1" t="s">
        <v>231</v>
      </c>
      <c r="H30" s="9" t="s">
        <v>238</v>
      </c>
      <c r="I30" s="9"/>
      <c r="J30" s="22"/>
    </row>
    <row r="31" spans="1:10">
      <c r="A31" s="22" t="s">
        <v>156</v>
      </c>
      <c r="B31" s="23">
        <f t="shared" si="0"/>
        <v>92</v>
      </c>
      <c r="C31" s="23" t="str">
        <f t="shared" si="1"/>
        <v>005C</v>
      </c>
      <c r="D31" s="22"/>
      <c r="E31" s="1" t="s">
        <v>132</v>
      </c>
      <c r="F31" s="1" t="s">
        <v>247</v>
      </c>
      <c r="G31" s="1" t="s">
        <v>231</v>
      </c>
      <c r="H31" s="9" t="s">
        <v>238</v>
      </c>
      <c r="I31" s="1"/>
      <c r="J31" s="22"/>
    </row>
    <row r="32" spans="1:10">
      <c r="A32" s="22" t="s">
        <v>158</v>
      </c>
      <c r="B32" s="23">
        <f t="shared" si="0"/>
        <v>93</v>
      </c>
      <c r="C32" s="23" t="str">
        <f t="shared" si="1"/>
        <v>005D</v>
      </c>
      <c r="D32" s="22"/>
      <c r="E32" s="1" t="s">
        <v>132</v>
      </c>
      <c r="F32" s="1" t="s">
        <v>248</v>
      </c>
      <c r="G32" s="1" t="s">
        <v>231</v>
      </c>
      <c r="H32" s="9" t="s">
        <v>249</v>
      </c>
      <c r="I32" s="1"/>
      <c r="J32" s="22"/>
    </row>
    <row r="33" spans="1:10">
      <c r="A33" s="22" t="s">
        <v>160</v>
      </c>
      <c r="B33" s="23">
        <f t="shared" si="0"/>
        <v>94</v>
      </c>
      <c r="C33" s="23" t="str">
        <f t="shared" si="1"/>
        <v>005E</v>
      </c>
      <c r="D33" s="22"/>
      <c r="E33" s="1"/>
      <c r="F33" s="3"/>
      <c r="G33" s="3"/>
      <c r="H33" s="3"/>
      <c r="I33" s="9"/>
      <c r="J33" s="22"/>
    </row>
    <row r="34" spans="1:10">
      <c r="A34" s="22" t="s">
        <v>162</v>
      </c>
      <c r="B34" s="23">
        <f t="shared" si="0"/>
        <v>95</v>
      </c>
      <c r="C34" s="23" t="str">
        <f t="shared" si="1"/>
        <v>005F</v>
      </c>
      <c r="D34" s="22"/>
      <c r="E34" s="1"/>
      <c r="F34" s="3"/>
      <c r="G34" s="3"/>
      <c r="H34" s="3"/>
      <c r="I34" s="9"/>
      <c r="J34" s="22"/>
    </row>
    <row r="35" spans="1:10">
      <c r="A35" s="22" t="s">
        <v>164</v>
      </c>
      <c r="B35" s="23">
        <f t="shared" ref="B35:B66" si="2">$B$2+A35-1</f>
        <v>96</v>
      </c>
      <c r="C35" s="23" t="str">
        <f t="shared" ref="C35:C66" si="3">DEC2HEX(B35,4)</f>
        <v>0060</v>
      </c>
      <c r="E35" s="1" t="s">
        <v>132</v>
      </c>
      <c r="F35" s="1" t="s">
        <v>250</v>
      </c>
      <c r="G35" s="1" t="s">
        <v>231</v>
      </c>
      <c r="H35" s="9" t="s">
        <v>232</v>
      </c>
      <c r="I35" s="3"/>
    </row>
    <row r="36" spans="1:10">
      <c r="A36" s="22" t="s">
        <v>166</v>
      </c>
      <c r="B36" s="23">
        <f t="shared" si="2"/>
        <v>97</v>
      </c>
      <c r="C36" s="23" t="str">
        <f t="shared" si="3"/>
        <v>0061</v>
      </c>
      <c r="E36" s="1" t="s">
        <v>132</v>
      </c>
      <c r="F36" s="1" t="s">
        <v>251</v>
      </c>
      <c r="G36" s="1" t="s">
        <v>231</v>
      </c>
      <c r="H36" s="9" t="s">
        <v>234</v>
      </c>
      <c r="I36" s="3"/>
    </row>
    <row r="37" spans="1:10">
      <c r="A37" s="22" t="s">
        <v>168</v>
      </c>
      <c r="B37" s="23">
        <f t="shared" si="2"/>
        <v>98</v>
      </c>
      <c r="C37" s="23" t="str">
        <f t="shared" si="3"/>
        <v>0062</v>
      </c>
      <c r="E37" s="1" t="s">
        <v>132</v>
      </c>
      <c r="F37" s="1" t="s">
        <v>252</v>
      </c>
      <c r="G37" s="1" t="s">
        <v>231</v>
      </c>
      <c r="H37" s="9" t="s">
        <v>236</v>
      </c>
      <c r="I37" s="3"/>
    </row>
    <row r="38" spans="1:10">
      <c r="A38" s="22" t="s">
        <v>170</v>
      </c>
      <c r="B38" s="23">
        <f t="shared" si="2"/>
        <v>99</v>
      </c>
      <c r="C38" s="23" t="str">
        <f t="shared" si="3"/>
        <v>0063</v>
      </c>
      <c r="E38" s="1" t="s">
        <v>132</v>
      </c>
      <c r="F38" s="1" t="s">
        <v>253</v>
      </c>
      <c r="G38" s="1" t="s">
        <v>231</v>
      </c>
      <c r="H38" s="9" t="s">
        <v>238</v>
      </c>
      <c r="I38" s="3"/>
    </row>
    <row r="39" spans="1:10">
      <c r="A39" s="22" t="s">
        <v>172</v>
      </c>
      <c r="B39" s="23">
        <f t="shared" si="2"/>
        <v>100</v>
      </c>
      <c r="C39" s="23" t="str">
        <f t="shared" si="3"/>
        <v>0064</v>
      </c>
      <c r="E39" s="1" t="s">
        <v>132</v>
      </c>
      <c r="F39" s="1" t="s">
        <v>254</v>
      </c>
      <c r="G39" s="1" t="s">
        <v>231</v>
      </c>
      <c r="H39" s="9" t="s">
        <v>232</v>
      </c>
      <c r="I39" s="3"/>
    </row>
    <row r="40" spans="1:10">
      <c r="A40" s="22" t="s">
        <v>174</v>
      </c>
      <c r="B40" s="23">
        <f t="shared" si="2"/>
        <v>101</v>
      </c>
      <c r="C40" s="23" t="str">
        <f t="shared" si="3"/>
        <v>0065</v>
      </c>
      <c r="E40" s="1" t="s">
        <v>132</v>
      </c>
      <c r="F40" s="1" t="s">
        <v>255</v>
      </c>
      <c r="G40" s="1" t="s">
        <v>231</v>
      </c>
      <c r="H40" s="9" t="s">
        <v>234</v>
      </c>
      <c r="I40" s="3"/>
    </row>
    <row r="41" spans="1:10">
      <c r="A41" s="22" t="s">
        <v>176</v>
      </c>
      <c r="B41" s="23">
        <f t="shared" si="2"/>
        <v>102</v>
      </c>
      <c r="C41" s="23" t="str">
        <f t="shared" si="3"/>
        <v>0066</v>
      </c>
      <c r="E41" s="1" t="s">
        <v>132</v>
      </c>
      <c r="F41" s="1" t="s">
        <v>256</v>
      </c>
      <c r="G41" s="1" t="s">
        <v>231</v>
      </c>
      <c r="H41" s="9" t="s">
        <v>236</v>
      </c>
      <c r="I41" s="3"/>
    </row>
    <row r="42" spans="1:10">
      <c r="A42" s="22" t="s">
        <v>177</v>
      </c>
      <c r="B42" s="23">
        <f t="shared" si="2"/>
        <v>103</v>
      </c>
      <c r="C42" s="23" t="str">
        <f t="shared" si="3"/>
        <v>0067</v>
      </c>
      <c r="E42" s="1" t="s">
        <v>132</v>
      </c>
      <c r="F42" s="1" t="s">
        <v>257</v>
      </c>
      <c r="G42" s="1" t="s">
        <v>231</v>
      </c>
      <c r="H42" s="9" t="s">
        <v>238</v>
      </c>
      <c r="I42" s="3"/>
    </row>
    <row r="43" spans="1:10">
      <c r="A43" s="22" t="s">
        <v>178</v>
      </c>
      <c r="B43" s="23">
        <f t="shared" si="2"/>
        <v>104</v>
      </c>
      <c r="C43" s="23" t="str">
        <f t="shared" si="3"/>
        <v>0068</v>
      </c>
      <c r="E43" s="1" t="s">
        <v>132</v>
      </c>
      <c r="F43" s="1" t="s">
        <v>258</v>
      </c>
      <c r="G43" s="1" t="s">
        <v>231</v>
      </c>
      <c r="H43" s="9" t="s">
        <v>232</v>
      </c>
      <c r="I43" s="3"/>
    </row>
    <row r="44" spans="1:10">
      <c r="A44" s="22" t="s">
        <v>179</v>
      </c>
      <c r="B44" s="23">
        <f t="shared" si="2"/>
        <v>105</v>
      </c>
      <c r="C44" s="23" t="str">
        <f t="shared" si="3"/>
        <v>0069</v>
      </c>
      <c r="E44" s="1" t="s">
        <v>132</v>
      </c>
      <c r="F44" s="1" t="s">
        <v>259</v>
      </c>
      <c r="G44" s="1" t="s">
        <v>231</v>
      </c>
      <c r="H44" s="9" t="s">
        <v>234</v>
      </c>
      <c r="I44" s="3"/>
    </row>
    <row r="45" spans="1:10">
      <c r="A45" s="22" t="s">
        <v>180</v>
      </c>
      <c r="B45" s="23">
        <f t="shared" si="2"/>
        <v>106</v>
      </c>
      <c r="C45" s="23" t="str">
        <f t="shared" si="3"/>
        <v>006A</v>
      </c>
      <c r="E45" s="1" t="s">
        <v>132</v>
      </c>
      <c r="F45" s="1" t="s">
        <v>260</v>
      </c>
      <c r="G45" s="1" t="s">
        <v>231</v>
      </c>
      <c r="H45" s="9" t="s">
        <v>236</v>
      </c>
      <c r="I45" s="3"/>
    </row>
    <row r="46" spans="1:10">
      <c r="A46" s="22" t="s">
        <v>181</v>
      </c>
      <c r="B46" s="23">
        <f t="shared" si="2"/>
        <v>107</v>
      </c>
      <c r="C46" s="23" t="str">
        <f t="shared" si="3"/>
        <v>006B</v>
      </c>
      <c r="E46" s="1" t="s">
        <v>132</v>
      </c>
      <c r="F46" s="1" t="s">
        <v>261</v>
      </c>
      <c r="G46" s="1" t="s">
        <v>231</v>
      </c>
      <c r="H46" s="9" t="s">
        <v>238</v>
      </c>
      <c r="I46" s="3"/>
    </row>
    <row r="47" spans="1:10">
      <c r="A47" s="22" t="s">
        <v>182</v>
      </c>
      <c r="B47" s="23">
        <f t="shared" si="2"/>
        <v>108</v>
      </c>
      <c r="C47" s="23" t="str">
        <f t="shared" si="3"/>
        <v>006C</v>
      </c>
      <c r="E47" s="1" t="s">
        <v>132</v>
      </c>
      <c r="F47" s="1" t="s">
        <v>262</v>
      </c>
      <c r="G47" s="1" t="s">
        <v>231</v>
      </c>
      <c r="H47" s="9" t="s">
        <v>238</v>
      </c>
      <c r="I47" s="3"/>
    </row>
    <row r="48" spans="1:10">
      <c r="A48" s="22" t="s">
        <v>183</v>
      </c>
      <c r="B48" s="23">
        <f t="shared" si="2"/>
        <v>109</v>
      </c>
      <c r="C48" s="23" t="str">
        <f t="shared" si="3"/>
        <v>006D</v>
      </c>
      <c r="E48" s="1" t="s">
        <v>132</v>
      </c>
      <c r="F48" s="1" t="s">
        <v>263</v>
      </c>
      <c r="G48" s="1" t="s">
        <v>231</v>
      </c>
      <c r="H48" s="9" t="s">
        <v>249</v>
      </c>
      <c r="I48" s="3"/>
    </row>
    <row r="49" spans="1:9">
      <c r="A49" s="22" t="s">
        <v>184</v>
      </c>
      <c r="B49" s="23">
        <f t="shared" si="2"/>
        <v>110</v>
      </c>
      <c r="C49" s="23" t="str">
        <f t="shared" si="3"/>
        <v>006E</v>
      </c>
      <c r="E49" s="3"/>
      <c r="F49" s="3"/>
      <c r="G49" s="3"/>
      <c r="H49" s="3"/>
      <c r="I49" s="3"/>
    </row>
    <row r="50" spans="1:9">
      <c r="A50" s="22" t="s">
        <v>185</v>
      </c>
      <c r="B50" s="23">
        <f t="shared" si="2"/>
        <v>111</v>
      </c>
      <c r="C50" s="23" t="str">
        <f t="shared" si="3"/>
        <v>006F</v>
      </c>
      <c r="E50" s="3"/>
      <c r="F50" s="3"/>
      <c r="G50" s="3"/>
      <c r="H50" s="3"/>
      <c r="I50" s="3"/>
    </row>
    <row r="51" spans="1:9">
      <c r="A51" s="22" t="s">
        <v>186</v>
      </c>
      <c r="B51" s="23">
        <f t="shared" si="2"/>
        <v>112</v>
      </c>
      <c r="C51" s="23" t="str">
        <f t="shared" si="3"/>
        <v>0070</v>
      </c>
      <c r="E51" s="1" t="s">
        <v>132</v>
      </c>
      <c r="F51" s="1" t="s">
        <v>264</v>
      </c>
      <c r="G51" s="1" t="s">
        <v>231</v>
      </c>
      <c r="H51" s="9" t="s">
        <v>232</v>
      </c>
      <c r="I51" s="3"/>
    </row>
    <row r="52" spans="1:9">
      <c r="A52" s="22" t="s">
        <v>187</v>
      </c>
      <c r="B52" s="23">
        <f t="shared" si="2"/>
        <v>113</v>
      </c>
      <c r="C52" s="23" t="str">
        <f t="shared" si="3"/>
        <v>0071</v>
      </c>
      <c r="E52" s="1" t="s">
        <v>132</v>
      </c>
      <c r="F52" s="1" t="s">
        <v>265</v>
      </c>
      <c r="G52" s="1" t="s">
        <v>231</v>
      </c>
      <c r="H52" s="9" t="s">
        <v>234</v>
      </c>
      <c r="I52" s="3"/>
    </row>
    <row r="53" spans="1:9">
      <c r="A53" s="22" t="s">
        <v>188</v>
      </c>
      <c r="B53" s="23">
        <f t="shared" si="2"/>
        <v>114</v>
      </c>
      <c r="C53" s="23" t="str">
        <f t="shared" si="3"/>
        <v>0072</v>
      </c>
      <c r="E53" s="1" t="s">
        <v>132</v>
      </c>
      <c r="F53" s="1" t="s">
        <v>266</v>
      </c>
      <c r="G53" s="1" t="s">
        <v>231</v>
      </c>
      <c r="H53" s="9" t="s">
        <v>236</v>
      </c>
      <c r="I53" s="3"/>
    </row>
    <row r="54" spans="1:9">
      <c r="A54" s="22" t="s">
        <v>189</v>
      </c>
      <c r="B54" s="23">
        <f t="shared" si="2"/>
        <v>115</v>
      </c>
      <c r="C54" s="23" t="str">
        <f t="shared" si="3"/>
        <v>0073</v>
      </c>
      <c r="E54" s="1" t="s">
        <v>132</v>
      </c>
      <c r="F54" s="1" t="s">
        <v>267</v>
      </c>
      <c r="G54" s="1" t="s">
        <v>231</v>
      </c>
      <c r="H54" s="9" t="s">
        <v>238</v>
      </c>
      <c r="I54" s="3"/>
    </row>
    <row r="55" spans="1:9">
      <c r="A55" s="22" t="s">
        <v>190</v>
      </c>
      <c r="B55" s="23">
        <f t="shared" si="2"/>
        <v>116</v>
      </c>
      <c r="C55" s="23" t="str">
        <f t="shared" si="3"/>
        <v>0074</v>
      </c>
      <c r="E55" s="1" t="s">
        <v>132</v>
      </c>
      <c r="F55" s="1" t="s">
        <v>268</v>
      </c>
      <c r="G55" s="1" t="s">
        <v>231</v>
      </c>
      <c r="H55" s="9" t="s">
        <v>232</v>
      </c>
      <c r="I55" s="3"/>
    </row>
    <row r="56" spans="1:9">
      <c r="A56" s="22" t="s">
        <v>191</v>
      </c>
      <c r="B56" s="23">
        <f t="shared" si="2"/>
        <v>117</v>
      </c>
      <c r="C56" s="23" t="str">
        <f t="shared" si="3"/>
        <v>0075</v>
      </c>
      <c r="E56" s="1" t="s">
        <v>132</v>
      </c>
      <c r="F56" s="1" t="s">
        <v>269</v>
      </c>
      <c r="G56" s="1" t="s">
        <v>231</v>
      </c>
      <c r="H56" s="9" t="s">
        <v>234</v>
      </c>
      <c r="I56" s="3"/>
    </row>
    <row r="57" spans="1:9">
      <c r="A57" s="22" t="s">
        <v>192</v>
      </c>
      <c r="B57" s="23">
        <f t="shared" si="2"/>
        <v>118</v>
      </c>
      <c r="C57" s="23" t="str">
        <f t="shared" si="3"/>
        <v>0076</v>
      </c>
      <c r="E57" s="1" t="s">
        <v>132</v>
      </c>
      <c r="F57" s="1" t="s">
        <v>270</v>
      </c>
      <c r="G57" s="1" t="s">
        <v>231</v>
      </c>
      <c r="H57" s="9" t="s">
        <v>236</v>
      </c>
      <c r="I57" s="3"/>
    </row>
    <row r="58" spans="1:9">
      <c r="A58" s="22" t="s">
        <v>193</v>
      </c>
      <c r="B58" s="23">
        <f t="shared" si="2"/>
        <v>119</v>
      </c>
      <c r="C58" s="23" t="str">
        <f t="shared" si="3"/>
        <v>0077</v>
      </c>
      <c r="E58" s="1" t="s">
        <v>132</v>
      </c>
      <c r="F58" s="1" t="s">
        <v>271</v>
      </c>
      <c r="G58" s="1" t="s">
        <v>231</v>
      </c>
      <c r="H58" s="9" t="s">
        <v>238</v>
      </c>
      <c r="I58" s="3"/>
    </row>
    <row r="59" spans="1:9">
      <c r="A59" s="22" t="s">
        <v>194</v>
      </c>
      <c r="B59" s="23">
        <f t="shared" si="2"/>
        <v>120</v>
      </c>
      <c r="C59" s="23" t="str">
        <f t="shared" si="3"/>
        <v>0078</v>
      </c>
      <c r="E59" s="1" t="s">
        <v>132</v>
      </c>
      <c r="F59" s="1" t="s">
        <v>272</v>
      </c>
      <c r="G59" s="1" t="s">
        <v>231</v>
      </c>
      <c r="H59" s="9" t="s">
        <v>232</v>
      </c>
      <c r="I59" s="3"/>
    </row>
    <row r="60" spans="1:9">
      <c r="A60" s="22" t="s">
        <v>197</v>
      </c>
      <c r="B60" s="23">
        <f t="shared" si="2"/>
        <v>121</v>
      </c>
      <c r="C60" s="23" t="str">
        <f t="shared" si="3"/>
        <v>0079</v>
      </c>
      <c r="E60" s="1" t="s">
        <v>132</v>
      </c>
      <c r="F60" s="1" t="s">
        <v>273</v>
      </c>
      <c r="G60" s="1" t="s">
        <v>231</v>
      </c>
      <c r="H60" s="9" t="s">
        <v>234</v>
      </c>
      <c r="I60" s="3"/>
    </row>
    <row r="61" spans="1:9">
      <c r="A61" s="22" t="s">
        <v>200</v>
      </c>
      <c r="B61" s="23">
        <f t="shared" si="2"/>
        <v>122</v>
      </c>
      <c r="C61" s="23" t="str">
        <f t="shared" si="3"/>
        <v>007A</v>
      </c>
      <c r="E61" s="1" t="s">
        <v>132</v>
      </c>
      <c r="F61" s="1" t="s">
        <v>274</v>
      </c>
      <c r="G61" s="1" t="s">
        <v>231</v>
      </c>
      <c r="H61" s="9" t="s">
        <v>236</v>
      </c>
      <c r="I61" s="3"/>
    </row>
    <row r="62" spans="1:9">
      <c r="A62" s="22" t="s">
        <v>202</v>
      </c>
      <c r="B62" s="23">
        <f t="shared" si="2"/>
        <v>123</v>
      </c>
      <c r="C62" s="23" t="str">
        <f t="shared" si="3"/>
        <v>007B</v>
      </c>
      <c r="E62" s="1" t="s">
        <v>132</v>
      </c>
      <c r="F62" s="1" t="s">
        <v>275</v>
      </c>
      <c r="G62" s="1" t="s">
        <v>231</v>
      </c>
      <c r="H62" s="9" t="s">
        <v>238</v>
      </c>
      <c r="I62" s="3"/>
    </row>
    <row r="63" spans="1:9">
      <c r="A63" s="22" t="s">
        <v>204</v>
      </c>
      <c r="B63" s="23">
        <f t="shared" si="2"/>
        <v>124</v>
      </c>
      <c r="C63" s="23" t="str">
        <f t="shared" si="3"/>
        <v>007C</v>
      </c>
      <c r="E63" s="1" t="s">
        <v>132</v>
      </c>
      <c r="F63" s="1" t="s">
        <v>276</v>
      </c>
      <c r="G63" s="1" t="s">
        <v>231</v>
      </c>
      <c r="H63" s="9" t="s">
        <v>238</v>
      </c>
      <c r="I63" s="3"/>
    </row>
    <row r="64" spans="1:9">
      <c r="A64" s="22" t="s">
        <v>206</v>
      </c>
      <c r="B64" s="23">
        <f t="shared" si="2"/>
        <v>125</v>
      </c>
      <c r="C64" s="23" t="str">
        <f t="shared" si="3"/>
        <v>007D</v>
      </c>
      <c r="E64" s="1" t="s">
        <v>132</v>
      </c>
      <c r="F64" s="1" t="s">
        <v>277</v>
      </c>
      <c r="G64" s="1" t="s">
        <v>231</v>
      </c>
      <c r="H64" s="9" t="s">
        <v>249</v>
      </c>
      <c r="I64" s="3"/>
    </row>
    <row r="65" spans="1:9">
      <c r="A65" s="22" t="s">
        <v>208</v>
      </c>
      <c r="B65" s="23">
        <f t="shared" si="2"/>
        <v>126</v>
      </c>
      <c r="C65" s="23" t="str">
        <f t="shared" si="3"/>
        <v>007E</v>
      </c>
      <c r="E65" s="3"/>
      <c r="F65" s="3"/>
      <c r="G65" s="3"/>
      <c r="H65" s="3"/>
      <c r="I65" s="3"/>
    </row>
    <row r="66" spans="1:9">
      <c r="A66" s="22" t="s">
        <v>210</v>
      </c>
      <c r="B66" s="23">
        <f t="shared" si="2"/>
        <v>127</v>
      </c>
      <c r="C66" s="23" t="str">
        <f t="shared" si="3"/>
        <v>007F</v>
      </c>
      <c r="E66" s="3"/>
      <c r="F66" s="3"/>
      <c r="G66" s="3"/>
      <c r="H66" s="3"/>
      <c r="I66" s="3"/>
    </row>
    <row r="67" spans="1:9">
      <c r="A67" s="22" t="s">
        <v>278</v>
      </c>
      <c r="B67" s="23">
        <f t="shared" ref="B67:B98" si="4">$B$2+A67-1</f>
        <v>128</v>
      </c>
      <c r="C67" s="23" t="str">
        <f t="shared" ref="C67:C98" si="5">DEC2HEX(B67,4)</f>
        <v>0080</v>
      </c>
      <c r="E67" s="1" t="s">
        <v>132</v>
      </c>
      <c r="F67" s="1" t="s">
        <v>279</v>
      </c>
      <c r="G67" s="1" t="s">
        <v>231</v>
      </c>
      <c r="H67" s="9" t="s">
        <v>232</v>
      </c>
      <c r="I67" s="3"/>
    </row>
    <row r="68" spans="1:9">
      <c r="A68" s="22" t="s">
        <v>280</v>
      </c>
      <c r="B68" s="23">
        <f t="shared" si="4"/>
        <v>129</v>
      </c>
      <c r="C68" s="23" t="str">
        <f t="shared" si="5"/>
        <v>0081</v>
      </c>
      <c r="E68" s="1" t="s">
        <v>132</v>
      </c>
      <c r="F68" s="1" t="s">
        <v>281</v>
      </c>
      <c r="G68" s="1" t="s">
        <v>231</v>
      </c>
      <c r="H68" s="9" t="s">
        <v>282</v>
      </c>
      <c r="I68" s="3"/>
    </row>
    <row r="69" spans="1:9">
      <c r="A69" s="22" t="s">
        <v>283</v>
      </c>
      <c r="B69" s="23">
        <f t="shared" si="4"/>
        <v>130</v>
      </c>
      <c r="C69" s="23" t="str">
        <f t="shared" si="5"/>
        <v>0082</v>
      </c>
      <c r="E69" s="1" t="s">
        <v>132</v>
      </c>
      <c r="F69" s="1" t="s">
        <v>284</v>
      </c>
      <c r="G69" s="1" t="s">
        <v>231</v>
      </c>
      <c r="H69" s="9" t="s">
        <v>232</v>
      </c>
      <c r="I69" s="3"/>
    </row>
    <row r="70" spans="1:9">
      <c r="A70" s="22" t="s">
        <v>285</v>
      </c>
      <c r="B70" s="23">
        <f t="shared" si="4"/>
        <v>131</v>
      </c>
      <c r="C70" s="23" t="str">
        <f t="shared" si="5"/>
        <v>0083</v>
      </c>
      <c r="E70" s="1" t="s">
        <v>132</v>
      </c>
      <c r="F70" s="1" t="s">
        <v>286</v>
      </c>
      <c r="G70" s="1" t="s">
        <v>231</v>
      </c>
      <c r="H70" s="9" t="s">
        <v>282</v>
      </c>
      <c r="I70" s="3"/>
    </row>
    <row r="71" spans="1:9">
      <c r="A71" s="22" t="s">
        <v>287</v>
      </c>
      <c r="B71" s="23">
        <f t="shared" si="4"/>
        <v>132</v>
      </c>
      <c r="C71" s="23" t="str">
        <f t="shared" si="5"/>
        <v>0084</v>
      </c>
      <c r="E71" s="1" t="s">
        <v>132</v>
      </c>
      <c r="F71" s="1" t="s">
        <v>288</v>
      </c>
      <c r="G71" s="1" t="s">
        <v>231</v>
      </c>
      <c r="H71" s="9" t="s">
        <v>249</v>
      </c>
      <c r="I71" s="3"/>
    </row>
    <row r="72" spans="1:9">
      <c r="A72" s="22" t="s">
        <v>289</v>
      </c>
      <c r="B72" s="23">
        <f t="shared" si="4"/>
        <v>133</v>
      </c>
      <c r="C72" s="23" t="str">
        <f t="shared" si="5"/>
        <v>0085</v>
      </c>
      <c r="E72" s="1" t="s">
        <v>132</v>
      </c>
      <c r="F72" s="1" t="s">
        <v>290</v>
      </c>
      <c r="G72" s="1" t="s">
        <v>231</v>
      </c>
      <c r="H72" s="9" t="s">
        <v>238</v>
      </c>
      <c r="I72" s="3"/>
    </row>
    <row r="73" spans="1:9">
      <c r="A73" s="22" t="s">
        <v>291</v>
      </c>
      <c r="B73" s="23">
        <f t="shared" si="4"/>
        <v>134</v>
      </c>
      <c r="C73" s="23" t="str">
        <f t="shared" si="5"/>
        <v>0086</v>
      </c>
      <c r="E73" s="3"/>
      <c r="F73" s="3"/>
      <c r="G73" s="3"/>
      <c r="H73" s="3"/>
      <c r="I73" s="3"/>
    </row>
    <row r="74" spans="1:9">
      <c r="A74" s="22" t="s">
        <v>292</v>
      </c>
      <c r="B74" s="23">
        <f t="shared" si="4"/>
        <v>135</v>
      </c>
      <c r="C74" s="23" t="str">
        <f t="shared" si="5"/>
        <v>0087</v>
      </c>
      <c r="E74" s="3"/>
      <c r="F74" s="3"/>
      <c r="G74" s="3"/>
      <c r="H74" s="3"/>
      <c r="I74" s="3"/>
    </row>
    <row r="75" spans="1:9">
      <c r="A75" s="22" t="s">
        <v>293</v>
      </c>
      <c r="B75" s="23">
        <f t="shared" si="4"/>
        <v>136</v>
      </c>
      <c r="C75" s="23" t="str">
        <f t="shared" si="5"/>
        <v>0088</v>
      </c>
      <c r="E75" s="1" t="s">
        <v>132</v>
      </c>
      <c r="F75" s="4" t="s">
        <v>294</v>
      </c>
      <c r="G75" s="1" t="s">
        <v>231</v>
      </c>
      <c r="H75" s="3" t="s">
        <v>232</v>
      </c>
      <c r="I75" s="3"/>
    </row>
    <row r="76" spans="1:9">
      <c r="A76" s="22" t="s">
        <v>295</v>
      </c>
      <c r="B76" s="23">
        <f t="shared" si="4"/>
        <v>137</v>
      </c>
      <c r="C76" s="23" t="str">
        <f t="shared" si="5"/>
        <v>0089</v>
      </c>
      <c r="E76" s="1" t="s">
        <v>132</v>
      </c>
      <c r="F76" s="4" t="s">
        <v>296</v>
      </c>
      <c r="G76" s="1" t="s">
        <v>231</v>
      </c>
      <c r="H76" s="9" t="s">
        <v>282</v>
      </c>
      <c r="I76" s="3"/>
    </row>
    <row r="77" spans="1:9">
      <c r="A77" s="22" t="s">
        <v>297</v>
      </c>
      <c r="B77" s="23">
        <f t="shared" si="4"/>
        <v>138</v>
      </c>
      <c r="C77" s="23" t="str">
        <f t="shared" si="5"/>
        <v>008A</v>
      </c>
      <c r="E77" s="1" t="s">
        <v>132</v>
      </c>
      <c r="F77" s="4" t="s">
        <v>298</v>
      </c>
      <c r="G77" s="1" t="s">
        <v>231</v>
      </c>
      <c r="H77" s="3" t="s">
        <v>299</v>
      </c>
      <c r="I77" s="3"/>
    </row>
    <row r="78" spans="1:9">
      <c r="A78" s="22" t="s">
        <v>300</v>
      </c>
      <c r="B78" s="23">
        <f t="shared" si="4"/>
        <v>139</v>
      </c>
      <c r="C78" s="23" t="str">
        <f t="shared" si="5"/>
        <v>008B</v>
      </c>
      <c r="E78" s="1" t="s">
        <v>132</v>
      </c>
      <c r="F78" s="4" t="s">
        <v>301</v>
      </c>
      <c r="G78" s="1" t="s">
        <v>231</v>
      </c>
      <c r="H78" s="3" t="s">
        <v>302</v>
      </c>
      <c r="I78" s="3"/>
    </row>
    <row r="79" spans="1:9">
      <c r="A79" s="22" t="s">
        <v>303</v>
      </c>
      <c r="B79" s="23">
        <f t="shared" si="4"/>
        <v>140</v>
      </c>
      <c r="C79" s="23" t="str">
        <f t="shared" si="5"/>
        <v>008C</v>
      </c>
      <c r="E79" s="1" t="s">
        <v>132</v>
      </c>
      <c r="F79" s="4" t="s">
        <v>304</v>
      </c>
      <c r="G79" s="1" t="s">
        <v>114</v>
      </c>
      <c r="H79" s="3" t="s">
        <v>232</v>
      </c>
      <c r="I79" s="3"/>
    </row>
    <row r="80" spans="1:9">
      <c r="A80" s="22" t="s">
        <v>305</v>
      </c>
      <c r="B80" s="23">
        <f t="shared" si="4"/>
        <v>141</v>
      </c>
      <c r="C80" s="23" t="str">
        <f t="shared" si="5"/>
        <v>008D</v>
      </c>
      <c r="E80" s="1" t="s">
        <v>132</v>
      </c>
      <c r="F80" s="4" t="s">
        <v>306</v>
      </c>
      <c r="G80" s="1" t="s">
        <v>114</v>
      </c>
      <c r="H80" s="3" t="s">
        <v>307</v>
      </c>
      <c r="I80" s="3"/>
    </row>
    <row r="81" spans="1:9">
      <c r="A81" s="22" t="s">
        <v>308</v>
      </c>
      <c r="B81" s="23">
        <f t="shared" si="4"/>
        <v>142</v>
      </c>
      <c r="C81" s="23" t="str">
        <f t="shared" si="5"/>
        <v>008E</v>
      </c>
      <c r="E81" s="1" t="s">
        <v>132</v>
      </c>
      <c r="F81" s="4" t="s">
        <v>309</v>
      </c>
      <c r="G81" s="1" t="s">
        <v>114</v>
      </c>
      <c r="H81" s="3" t="s">
        <v>307</v>
      </c>
      <c r="I81" s="3"/>
    </row>
    <row r="82" spans="1:9" s="49" customFormat="1">
      <c r="A82" s="50" t="s">
        <v>310</v>
      </c>
      <c r="B82" s="51">
        <f t="shared" si="4"/>
        <v>143</v>
      </c>
      <c r="C82" s="51" t="str">
        <f t="shared" si="5"/>
        <v>008F</v>
      </c>
      <c r="E82" s="50" t="s">
        <v>132</v>
      </c>
      <c r="F82" s="51" t="s">
        <v>311</v>
      </c>
      <c r="G82" s="50" t="s">
        <v>114</v>
      </c>
    </row>
    <row r="83" spans="1:9">
      <c r="A83" s="22" t="s">
        <v>312</v>
      </c>
      <c r="B83" s="23">
        <f t="shared" si="4"/>
        <v>144</v>
      </c>
      <c r="C83" s="23" t="str">
        <f t="shared" si="5"/>
        <v>0090</v>
      </c>
      <c r="E83" s="1" t="s">
        <v>132</v>
      </c>
      <c r="F83" s="4" t="s">
        <v>313</v>
      </c>
      <c r="G83" s="1" t="s">
        <v>114</v>
      </c>
      <c r="H83" s="3"/>
      <c r="I83" s="3"/>
    </row>
    <row r="84" spans="1:9">
      <c r="A84" s="22" t="s">
        <v>314</v>
      </c>
      <c r="B84" s="23">
        <f t="shared" si="4"/>
        <v>145</v>
      </c>
      <c r="C84" s="23" t="str">
        <f t="shared" si="5"/>
        <v>0091</v>
      </c>
      <c r="E84" s="1" t="s">
        <v>132</v>
      </c>
      <c r="F84" s="4" t="s">
        <v>315</v>
      </c>
      <c r="G84" s="1" t="s">
        <v>114</v>
      </c>
      <c r="H84" s="3"/>
      <c r="I84" s="3"/>
    </row>
    <row r="85" spans="1:9">
      <c r="A85" s="22" t="s">
        <v>97</v>
      </c>
      <c r="B85" s="23">
        <f t="shared" si="4"/>
        <v>146</v>
      </c>
      <c r="C85" s="23" t="str">
        <f t="shared" si="5"/>
        <v>0092</v>
      </c>
      <c r="E85" s="1" t="s">
        <v>132</v>
      </c>
      <c r="F85" s="4" t="s">
        <v>316</v>
      </c>
      <c r="G85" s="1" t="s">
        <v>114</v>
      </c>
      <c r="H85" s="3"/>
      <c r="I85" s="3"/>
    </row>
    <row r="86" spans="1:9">
      <c r="A86" s="22" t="s">
        <v>317</v>
      </c>
      <c r="B86" s="23">
        <f t="shared" si="4"/>
        <v>147</v>
      </c>
      <c r="C86" s="23" t="str">
        <f t="shared" si="5"/>
        <v>0093</v>
      </c>
      <c r="E86" s="3"/>
      <c r="F86" s="3"/>
      <c r="G86" s="3"/>
      <c r="H86" s="3"/>
      <c r="I86" s="3"/>
    </row>
    <row r="87" spans="1:9">
      <c r="A87" s="22" t="s">
        <v>318</v>
      </c>
      <c r="B87" s="23">
        <f t="shared" si="4"/>
        <v>148</v>
      </c>
      <c r="C87" s="23" t="str">
        <f t="shared" si="5"/>
        <v>0094</v>
      </c>
      <c r="E87" s="3"/>
      <c r="F87" s="3"/>
      <c r="G87" s="3"/>
      <c r="H87" s="3"/>
      <c r="I87" s="3"/>
    </row>
    <row r="88" spans="1:9">
      <c r="A88" s="22" t="s">
        <v>319</v>
      </c>
      <c r="B88" s="23">
        <f t="shared" si="4"/>
        <v>149</v>
      </c>
      <c r="C88" s="23" t="str">
        <f t="shared" si="5"/>
        <v>0095</v>
      </c>
      <c r="E88" s="3"/>
      <c r="F88" s="3"/>
      <c r="G88" s="3"/>
      <c r="H88" s="3"/>
      <c r="I88" s="3"/>
    </row>
    <row r="89" spans="1:9">
      <c r="A89" s="22" t="s">
        <v>320</v>
      </c>
      <c r="B89" s="23">
        <f t="shared" si="4"/>
        <v>150</v>
      </c>
      <c r="C89" s="23" t="str">
        <f t="shared" si="5"/>
        <v>0096</v>
      </c>
      <c r="E89" s="1" t="s">
        <v>132</v>
      </c>
      <c r="F89" s="4" t="s">
        <v>321</v>
      </c>
      <c r="G89" s="1" t="s">
        <v>231</v>
      </c>
      <c r="H89" s="9" t="s">
        <v>232</v>
      </c>
      <c r="I89" s="3"/>
    </row>
    <row r="90" spans="1:9">
      <c r="A90" s="22" t="s">
        <v>322</v>
      </c>
      <c r="B90" s="23">
        <f t="shared" si="4"/>
        <v>151</v>
      </c>
      <c r="C90" s="23" t="str">
        <f t="shared" si="5"/>
        <v>0097</v>
      </c>
      <c r="E90" s="1" t="s">
        <v>132</v>
      </c>
      <c r="F90" s="4" t="s">
        <v>323</v>
      </c>
      <c r="G90" s="1" t="s">
        <v>231</v>
      </c>
      <c r="H90" s="9" t="s">
        <v>234</v>
      </c>
      <c r="I90" s="3"/>
    </row>
    <row r="91" spans="1:9">
      <c r="A91" s="22" t="s">
        <v>324</v>
      </c>
      <c r="B91" s="23">
        <f t="shared" si="4"/>
        <v>152</v>
      </c>
      <c r="C91" s="23" t="str">
        <f t="shared" si="5"/>
        <v>0098</v>
      </c>
      <c r="E91" s="1" t="s">
        <v>132</v>
      </c>
      <c r="F91" s="4" t="s">
        <v>325</v>
      </c>
      <c r="G91" s="1" t="s">
        <v>231</v>
      </c>
      <c r="H91" s="9" t="s">
        <v>238</v>
      </c>
      <c r="I91" s="3"/>
    </row>
    <row r="92" spans="1:9">
      <c r="A92" s="22" t="s">
        <v>98</v>
      </c>
      <c r="B92" s="23">
        <f t="shared" si="4"/>
        <v>153</v>
      </c>
      <c r="C92" s="23" t="str">
        <f t="shared" si="5"/>
        <v>0099</v>
      </c>
      <c r="E92" s="1" t="s">
        <v>132</v>
      </c>
      <c r="F92" s="4" t="s">
        <v>326</v>
      </c>
      <c r="G92" s="1" t="s">
        <v>231</v>
      </c>
      <c r="H92" s="9" t="s">
        <v>232</v>
      </c>
      <c r="I92" s="3"/>
    </row>
    <row r="93" spans="1:9">
      <c r="A93" s="22" t="s">
        <v>327</v>
      </c>
      <c r="B93" s="23">
        <f t="shared" si="4"/>
        <v>154</v>
      </c>
      <c r="C93" s="23" t="str">
        <f t="shared" si="5"/>
        <v>009A</v>
      </c>
      <c r="E93" s="1" t="s">
        <v>132</v>
      </c>
      <c r="F93" s="4" t="s">
        <v>328</v>
      </c>
      <c r="G93" s="1" t="s">
        <v>231</v>
      </c>
      <c r="H93" s="9" t="s">
        <v>234</v>
      </c>
      <c r="I93" s="3"/>
    </row>
    <row r="94" spans="1:9">
      <c r="A94" s="22" t="s">
        <v>329</v>
      </c>
      <c r="B94" s="23">
        <f t="shared" si="4"/>
        <v>155</v>
      </c>
      <c r="C94" s="23" t="str">
        <f t="shared" si="5"/>
        <v>009B</v>
      </c>
      <c r="E94" s="1" t="s">
        <v>132</v>
      </c>
      <c r="F94" s="4" t="s">
        <v>330</v>
      </c>
      <c r="G94" s="1" t="s">
        <v>231</v>
      </c>
      <c r="H94" s="9" t="s">
        <v>238</v>
      </c>
      <c r="I94" s="3"/>
    </row>
    <row r="95" spans="1:9" s="56" customFormat="1">
      <c r="A95" s="52" t="s">
        <v>331</v>
      </c>
      <c r="B95" s="53">
        <f t="shared" si="4"/>
        <v>156</v>
      </c>
      <c r="C95" s="53" t="str">
        <f t="shared" si="5"/>
        <v>009C</v>
      </c>
      <c r="E95" s="50" t="s">
        <v>132</v>
      </c>
      <c r="F95" s="51" t="s">
        <v>332</v>
      </c>
      <c r="G95" s="50" t="s">
        <v>114</v>
      </c>
      <c r="H95" s="49" t="s">
        <v>333</v>
      </c>
      <c r="I95" s="49"/>
    </row>
    <row r="96" spans="1:9" s="56" customFormat="1">
      <c r="A96" s="52" t="s">
        <v>334</v>
      </c>
      <c r="B96" s="53">
        <f t="shared" si="4"/>
        <v>157</v>
      </c>
      <c r="C96" s="53" t="str">
        <f t="shared" si="5"/>
        <v>009D</v>
      </c>
      <c r="E96" s="50" t="s">
        <v>132</v>
      </c>
      <c r="F96" s="51" t="s">
        <v>335</v>
      </c>
      <c r="G96" s="50" t="s">
        <v>114</v>
      </c>
      <c r="H96" s="49" t="s">
        <v>333</v>
      </c>
      <c r="I96" s="49"/>
    </row>
    <row r="97" spans="1:9">
      <c r="A97" s="22" t="s">
        <v>336</v>
      </c>
      <c r="B97" s="23">
        <f t="shared" si="4"/>
        <v>158</v>
      </c>
      <c r="C97" s="23" t="str">
        <f t="shared" si="5"/>
        <v>009E</v>
      </c>
      <c r="E97" s="3"/>
      <c r="F97" s="3"/>
      <c r="G97" s="3"/>
      <c r="H97" s="3"/>
      <c r="I97" s="3"/>
    </row>
    <row r="98" spans="1:9">
      <c r="A98" s="22" t="s">
        <v>337</v>
      </c>
      <c r="B98" s="23">
        <f t="shared" si="4"/>
        <v>159</v>
      </c>
      <c r="C98" s="23" t="str">
        <f t="shared" si="5"/>
        <v>009F</v>
      </c>
      <c r="E98" s="3"/>
      <c r="F98" s="3"/>
      <c r="G98" s="3"/>
      <c r="H98" s="3"/>
      <c r="I98" s="3"/>
    </row>
    <row r="99" spans="1:9">
      <c r="A99" s="22"/>
      <c r="B99" s="23"/>
      <c r="C99" s="23"/>
      <c r="E99" s="3"/>
      <c r="F99" s="3"/>
      <c r="G99" s="3"/>
      <c r="H99" s="3"/>
      <c r="I99" s="3"/>
    </row>
    <row r="100" spans="1:9">
      <c r="A100" s="22"/>
      <c r="B100" s="23"/>
      <c r="C100" s="23"/>
      <c r="E100" s="3"/>
      <c r="F100" s="3"/>
      <c r="G100" s="3"/>
      <c r="H100" s="3"/>
      <c r="I100" s="3"/>
    </row>
    <row r="101" spans="1:9">
      <c r="A101" s="22"/>
      <c r="B101" s="23"/>
      <c r="C101" s="23"/>
      <c r="E101" s="3"/>
      <c r="F101" s="3"/>
      <c r="G101" s="3"/>
      <c r="H101" s="3"/>
      <c r="I101" s="3"/>
    </row>
    <row r="102" spans="1:9">
      <c r="A102" s="22"/>
      <c r="B102" s="23"/>
      <c r="C102" s="23"/>
      <c r="E102" s="3"/>
      <c r="F102" s="3"/>
      <c r="G102" s="3"/>
      <c r="H102" s="3"/>
      <c r="I102" s="3"/>
    </row>
    <row r="103" spans="1:9">
      <c r="A103" s="22"/>
      <c r="B103" s="23"/>
      <c r="C103" s="23"/>
      <c r="E103" s="3"/>
      <c r="F103" s="3"/>
      <c r="G103" s="3"/>
      <c r="H103" s="3"/>
      <c r="I103" s="3"/>
    </row>
    <row r="104" spans="1:9">
      <c r="A104" s="22"/>
      <c r="B104" s="23"/>
      <c r="C104" s="23"/>
      <c r="E104" s="3"/>
      <c r="F104" s="3"/>
      <c r="G104" s="3"/>
      <c r="H104" s="3"/>
      <c r="I104" s="3"/>
    </row>
    <row r="105" spans="1:9">
      <c r="A105" s="22"/>
      <c r="B105" s="23"/>
      <c r="C105" s="23"/>
    </row>
    <row r="106" spans="1:9">
      <c r="A106" s="22"/>
      <c r="B106" s="23"/>
      <c r="C106" s="23"/>
    </row>
    <row r="107" spans="1:9">
      <c r="A107" s="22"/>
      <c r="B107" s="23"/>
      <c r="C107" s="23"/>
    </row>
    <row r="108" spans="1:9">
      <c r="A108" s="22"/>
      <c r="B108" s="23"/>
      <c r="C108" s="23"/>
    </row>
    <row r="109" spans="1:9">
      <c r="A109" s="22"/>
      <c r="B109" s="23"/>
      <c r="C109" s="23"/>
    </row>
    <row r="110" spans="1:9">
      <c r="A110" s="22"/>
      <c r="B110" s="23"/>
      <c r="C110" s="23"/>
    </row>
    <row r="111" spans="1:9">
      <c r="A111" s="22"/>
      <c r="B111" s="23"/>
      <c r="C111" s="23"/>
    </row>
    <row r="112" spans="1:9">
      <c r="A112" s="22"/>
      <c r="B112" s="23"/>
      <c r="C112" s="23"/>
    </row>
    <row r="113" spans="1:3">
      <c r="A113" s="22"/>
      <c r="B113" s="23"/>
      <c r="C113" s="23"/>
    </row>
    <row r="114" spans="1:3">
      <c r="A114" s="22"/>
      <c r="B114" s="23"/>
      <c r="C114" s="23"/>
    </row>
    <row r="115" spans="1:3">
      <c r="A115" s="22"/>
      <c r="B115" s="23"/>
      <c r="C115" s="23"/>
    </row>
    <row r="116" spans="1:3">
      <c r="A116" s="22"/>
      <c r="B116" s="23"/>
      <c r="C116" s="23"/>
    </row>
    <row r="117" spans="1:3">
      <c r="A117" s="22"/>
      <c r="B117" s="23"/>
      <c r="C117" s="23"/>
    </row>
    <row r="118" spans="1:3">
      <c r="A118" s="22"/>
      <c r="B118" s="23"/>
      <c r="C118" s="23"/>
    </row>
    <row r="119" spans="1:3">
      <c r="A119" s="22"/>
      <c r="B119" s="23"/>
      <c r="C119" s="23"/>
    </row>
    <row r="120" spans="1:3">
      <c r="A120" s="22"/>
      <c r="B120" s="23"/>
      <c r="C120" s="23"/>
    </row>
    <row r="121" spans="1:3">
      <c r="A121" s="22"/>
      <c r="B121" s="23"/>
      <c r="C121" s="23"/>
    </row>
    <row r="122" spans="1:3">
      <c r="A122" s="22"/>
      <c r="B122" s="23"/>
      <c r="C122" s="23"/>
    </row>
    <row r="123" spans="1:3">
      <c r="A123" s="22"/>
      <c r="B123" s="23"/>
      <c r="C123" s="23"/>
    </row>
    <row r="124" spans="1:3">
      <c r="A124" s="22"/>
      <c r="B124" s="23"/>
      <c r="C124" s="23"/>
    </row>
    <row r="125" spans="1:3">
      <c r="A125" s="22"/>
      <c r="B125" s="23"/>
      <c r="C125" s="23"/>
    </row>
    <row r="126" spans="1:3">
      <c r="A126" s="22"/>
      <c r="B126" s="23"/>
      <c r="C126" s="23"/>
    </row>
    <row r="127" spans="1:3">
      <c r="A127" s="22"/>
      <c r="B127" s="23"/>
      <c r="C127" s="23"/>
    </row>
    <row r="128" spans="1:3">
      <c r="A128" s="22"/>
      <c r="B128" s="23"/>
      <c r="C128" s="23"/>
    </row>
    <row r="129" spans="1:3">
      <c r="A129" s="22"/>
      <c r="B129" s="23"/>
      <c r="C129" s="23"/>
    </row>
    <row r="130" spans="1:3">
      <c r="A130" s="22"/>
      <c r="B130" s="23"/>
      <c r="C130" s="23"/>
    </row>
    <row r="131" spans="1:3">
      <c r="A131" s="22"/>
      <c r="B131" s="23"/>
      <c r="C131" s="23"/>
    </row>
    <row r="132" spans="1:3">
      <c r="A132" s="22"/>
      <c r="B132" s="23"/>
      <c r="C132" s="23"/>
    </row>
    <row r="133" spans="1:3">
      <c r="A133" s="22"/>
      <c r="B133" s="23"/>
      <c r="C133" s="23"/>
    </row>
    <row r="134" spans="1:3">
      <c r="A134" s="22"/>
      <c r="B134" s="23"/>
      <c r="C134" s="23"/>
    </row>
    <row r="135" spans="1:3">
      <c r="A135" s="22"/>
      <c r="B135" s="23"/>
      <c r="C135" s="23"/>
    </row>
    <row r="136" spans="1:3">
      <c r="A136" s="22"/>
      <c r="B136" s="23"/>
      <c r="C136" s="23"/>
    </row>
    <row r="137" spans="1:3">
      <c r="A137" s="22"/>
      <c r="B137" s="23"/>
      <c r="C137" s="23"/>
    </row>
    <row r="138" spans="1:3">
      <c r="A138" s="22"/>
      <c r="B138" s="23"/>
      <c r="C138" s="23"/>
    </row>
    <row r="139" spans="1:3">
      <c r="A139" s="22"/>
      <c r="B139" s="23"/>
      <c r="C139" s="23"/>
    </row>
    <row r="140" spans="1:3">
      <c r="A140" s="22"/>
      <c r="B140" s="23"/>
      <c r="C140" s="23"/>
    </row>
    <row r="141" spans="1:3">
      <c r="A141" s="22"/>
      <c r="B141" s="23"/>
      <c r="C141" s="23"/>
    </row>
    <row r="142" spans="1:3">
      <c r="A142" s="22"/>
      <c r="B142" s="23"/>
      <c r="C142" s="23"/>
    </row>
    <row r="143" spans="1:3">
      <c r="A143" s="22"/>
      <c r="B143" s="23"/>
      <c r="C143" s="23"/>
    </row>
    <row r="144" spans="1:3">
      <c r="A144" s="22"/>
      <c r="B144" s="23"/>
      <c r="C144" s="23"/>
    </row>
    <row r="145" spans="1:3">
      <c r="A145" s="22"/>
      <c r="B145" s="23"/>
      <c r="C145" s="23"/>
    </row>
    <row r="146" spans="1:3">
      <c r="A146" s="22"/>
      <c r="B146" s="23"/>
      <c r="C146" s="23"/>
    </row>
    <row r="147" spans="1:3">
      <c r="A147" s="22"/>
      <c r="B147" s="23"/>
      <c r="C147" s="23"/>
    </row>
    <row r="148" spans="1:3">
      <c r="A148" s="22"/>
      <c r="B148" s="23"/>
      <c r="C148" s="23"/>
    </row>
    <row r="149" spans="1:3">
      <c r="A149" s="22"/>
      <c r="B149" s="23"/>
      <c r="C149" s="23"/>
    </row>
    <row r="150" spans="1:3">
      <c r="A150" s="22"/>
      <c r="B150" s="23"/>
      <c r="C150" s="23"/>
    </row>
    <row r="151" spans="1:3">
      <c r="A151" s="22"/>
      <c r="B151" s="23"/>
      <c r="C151" s="23"/>
    </row>
    <row r="152" spans="1:3">
      <c r="A152" s="22"/>
      <c r="B152" s="23"/>
      <c r="C152" s="23"/>
    </row>
    <row r="153" spans="1:3">
      <c r="A153" s="22"/>
      <c r="B153" s="23"/>
      <c r="C153" s="23"/>
    </row>
    <row r="154" spans="1:3">
      <c r="A154" s="22"/>
      <c r="B154" s="23"/>
      <c r="C154" s="23"/>
    </row>
    <row r="155" spans="1:3">
      <c r="A155" s="22"/>
      <c r="B155" s="23"/>
      <c r="C155" s="23"/>
    </row>
    <row r="156" spans="1:3">
      <c r="A156" s="22"/>
      <c r="B156" s="23"/>
      <c r="C156" s="23"/>
    </row>
    <row r="157" spans="1:3">
      <c r="A157" s="22"/>
      <c r="B157" s="23"/>
      <c r="C157" s="23"/>
    </row>
    <row r="158" spans="1:3">
      <c r="A158" s="22"/>
      <c r="B158" s="23"/>
      <c r="C158" s="23"/>
    </row>
    <row r="159" spans="1:3">
      <c r="A159" s="22"/>
      <c r="B159" s="23"/>
      <c r="C159" s="23"/>
    </row>
    <row r="160" spans="1:3">
      <c r="A160" s="22"/>
      <c r="B160" s="23"/>
      <c r="C160" s="23"/>
    </row>
    <row r="161" spans="1:3">
      <c r="A161" s="22"/>
      <c r="B161" s="23"/>
      <c r="C161" s="23"/>
    </row>
    <row r="162" spans="1:3">
      <c r="A162" s="22"/>
      <c r="B162" s="23"/>
      <c r="C162" s="23"/>
    </row>
    <row r="163" spans="1:3">
      <c r="A163" s="22"/>
      <c r="B163" s="23"/>
      <c r="C163" s="23"/>
    </row>
    <row r="164" spans="1:3">
      <c r="A164" s="22"/>
      <c r="B164" s="23"/>
      <c r="C164" s="23"/>
    </row>
    <row r="165" spans="1:3">
      <c r="A165" s="22"/>
      <c r="B165" s="23"/>
      <c r="C165" s="23"/>
    </row>
    <row r="166" spans="1:3">
      <c r="A166" s="22"/>
      <c r="B166" s="23"/>
      <c r="C166" s="23"/>
    </row>
    <row r="167" spans="1:3">
      <c r="A167" s="22"/>
      <c r="B167" s="23"/>
      <c r="C167" s="23"/>
    </row>
    <row r="168" spans="1:3">
      <c r="A168" s="22"/>
      <c r="B168" s="23"/>
      <c r="C168" s="23"/>
    </row>
    <row r="169" spans="1:3">
      <c r="A169" s="22"/>
      <c r="B169" s="23"/>
      <c r="C169" s="23"/>
    </row>
    <row r="170" spans="1:3">
      <c r="A170" s="22"/>
      <c r="B170" s="23"/>
      <c r="C170" s="23"/>
    </row>
    <row r="171" spans="1:3">
      <c r="A171" s="22"/>
      <c r="B171" s="23"/>
      <c r="C171" s="23"/>
    </row>
    <row r="172" spans="1:3">
      <c r="A172" s="22"/>
      <c r="B172" s="23"/>
      <c r="C172" s="23"/>
    </row>
    <row r="173" spans="1:3">
      <c r="A173" s="22"/>
      <c r="B173" s="23"/>
      <c r="C173" s="23"/>
    </row>
    <row r="174" spans="1:3">
      <c r="A174" s="22"/>
      <c r="B174" s="23"/>
      <c r="C174" s="23"/>
    </row>
    <row r="175" spans="1:3">
      <c r="A175" s="22"/>
      <c r="B175" s="23"/>
      <c r="C175" s="23"/>
    </row>
    <row r="176" spans="1:3">
      <c r="A176" s="22"/>
      <c r="B176" s="23"/>
      <c r="C176" s="23"/>
    </row>
    <row r="177" spans="1:3">
      <c r="A177" s="22"/>
      <c r="B177" s="23"/>
      <c r="C177" s="23"/>
    </row>
    <row r="178" spans="1:3">
      <c r="A178" s="22"/>
      <c r="B178" s="23"/>
      <c r="C178" s="23"/>
    </row>
    <row r="179" spans="1:3">
      <c r="A179" s="22"/>
      <c r="B179" s="23"/>
      <c r="C179" s="23"/>
    </row>
    <row r="180" spans="1:3">
      <c r="A180" s="22"/>
      <c r="B180" s="23"/>
      <c r="C180" s="23"/>
    </row>
    <row r="181" spans="1:3">
      <c r="A181" s="22"/>
      <c r="B181" s="23"/>
      <c r="C181" s="23"/>
    </row>
    <row r="182" spans="1:3">
      <c r="A182" s="22"/>
      <c r="B182" s="23"/>
      <c r="C182" s="23"/>
    </row>
    <row r="183" spans="1:3">
      <c r="A183" s="22"/>
      <c r="B183" s="23"/>
      <c r="C183" s="23"/>
    </row>
    <row r="184" spans="1:3">
      <c r="A184" s="22"/>
      <c r="B184" s="23"/>
      <c r="C184" s="23"/>
    </row>
    <row r="185" spans="1:3">
      <c r="A185" s="22"/>
      <c r="B185" s="23"/>
      <c r="C185" s="23"/>
    </row>
    <row r="186" spans="1:3">
      <c r="A186" s="22"/>
      <c r="B186" s="23"/>
      <c r="C186" s="23"/>
    </row>
    <row r="187" spans="1:3">
      <c r="A187" s="22"/>
      <c r="B187" s="23"/>
      <c r="C187" s="23"/>
    </row>
    <row r="188" spans="1:3">
      <c r="A188" s="22"/>
      <c r="B188" s="23"/>
      <c r="C188" s="23"/>
    </row>
    <row r="189" spans="1:3">
      <c r="A189" s="22"/>
      <c r="B189" s="23"/>
      <c r="C189" s="23"/>
    </row>
    <row r="190" spans="1:3">
      <c r="A190" s="22"/>
      <c r="B190" s="23"/>
      <c r="C190" s="23"/>
    </row>
    <row r="191" spans="1:3">
      <c r="A191" s="22"/>
      <c r="B191" s="23"/>
      <c r="C191" s="23"/>
    </row>
    <row r="192" spans="1:3">
      <c r="A192" s="22"/>
      <c r="B192" s="23"/>
      <c r="C192" s="23"/>
    </row>
    <row r="193" spans="1:3">
      <c r="A193" s="22"/>
      <c r="B193" s="23"/>
      <c r="C193" s="23"/>
    </row>
    <row r="194" spans="1:3">
      <c r="A194" s="22"/>
      <c r="B194" s="23"/>
      <c r="C194" s="23"/>
    </row>
    <row r="195" spans="1:3">
      <c r="A195" s="22"/>
      <c r="B195" s="23"/>
      <c r="C195" s="23"/>
    </row>
    <row r="196" spans="1:3">
      <c r="A196" s="22"/>
      <c r="B196" s="23"/>
      <c r="C196" s="23"/>
    </row>
    <row r="197" spans="1:3">
      <c r="A197" s="22"/>
      <c r="B197" s="23"/>
      <c r="C197" s="23"/>
    </row>
    <row r="198" spans="1:3">
      <c r="A198" s="22"/>
      <c r="B198" s="23"/>
      <c r="C198" s="23"/>
    </row>
    <row r="199" spans="1:3">
      <c r="A199" s="22"/>
      <c r="B199" s="23"/>
      <c r="C199" s="23"/>
    </row>
    <row r="200" spans="1:3">
      <c r="A200" s="22"/>
      <c r="B200" s="23"/>
      <c r="C200" s="23"/>
    </row>
    <row r="201" spans="1:3">
      <c r="A201" s="22"/>
      <c r="B201" s="23"/>
      <c r="C201" s="23"/>
    </row>
    <row r="202" spans="1:3">
      <c r="A202" s="22"/>
      <c r="B202" s="23"/>
      <c r="C202" s="23"/>
    </row>
    <row r="203" spans="1:3">
      <c r="A203" s="22"/>
      <c r="B203" s="23"/>
      <c r="C203" s="23"/>
    </row>
    <row r="204" spans="1:3">
      <c r="A204" s="22"/>
      <c r="B204" s="23"/>
      <c r="C204" s="23"/>
    </row>
    <row r="205" spans="1:3">
      <c r="A205" s="22"/>
      <c r="B205" s="23"/>
      <c r="C205" s="23"/>
    </row>
    <row r="206" spans="1:3">
      <c r="A206" s="22"/>
      <c r="B206" s="23"/>
      <c r="C206" s="23"/>
    </row>
    <row r="207" spans="1:3">
      <c r="A207" s="22"/>
      <c r="B207" s="23"/>
      <c r="C207" s="23"/>
    </row>
    <row r="208" spans="1:3">
      <c r="A208" s="22"/>
      <c r="B208" s="23"/>
      <c r="C208" s="23"/>
    </row>
    <row r="209" spans="1:3">
      <c r="A209" s="22"/>
      <c r="B209" s="23"/>
      <c r="C209" s="23"/>
    </row>
    <row r="210" spans="1:3">
      <c r="A210" s="22"/>
      <c r="B210" s="23"/>
      <c r="C210" s="23"/>
    </row>
    <row r="211" spans="1:3">
      <c r="A211" s="22"/>
      <c r="B211" s="23"/>
      <c r="C211" s="23"/>
    </row>
    <row r="212" spans="1:3">
      <c r="A212" s="22"/>
      <c r="B212" s="23"/>
      <c r="C212" s="23"/>
    </row>
    <row r="213" spans="1:3">
      <c r="A213" s="22"/>
      <c r="B213" s="23"/>
      <c r="C213" s="23"/>
    </row>
    <row r="214" spans="1:3">
      <c r="A214" s="22"/>
      <c r="B214" s="23"/>
      <c r="C214" s="23"/>
    </row>
    <row r="215" spans="1:3">
      <c r="A215" s="22"/>
      <c r="B215" s="23"/>
      <c r="C215" s="23"/>
    </row>
    <row r="216" spans="1:3">
      <c r="A216" s="22"/>
      <c r="B216" s="23"/>
      <c r="C216" s="23"/>
    </row>
    <row r="217" spans="1:3">
      <c r="A217" s="22"/>
      <c r="B217" s="23"/>
      <c r="C217" s="23"/>
    </row>
    <row r="218" spans="1:3">
      <c r="A218" s="22"/>
      <c r="B218" s="23"/>
      <c r="C218" s="23"/>
    </row>
    <row r="219" spans="1:3">
      <c r="A219" s="22"/>
      <c r="B219" s="23"/>
      <c r="C219" s="23"/>
    </row>
    <row r="220" spans="1:3">
      <c r="A220" s="22"/>
      <c r="B220" s="23"/>
      <c r="C220" s="23"/>
    </row>
    <row r="221" spans="1:3">
      <c r="A221" s="22"/>
      <c r="B221" s="23"/>
      <c r="C221" s="23"/>
    </row>
    <row r="222" spans="1:3">
      <c r="A222" s="22"/>
      <c r="B222" s="23"/>
      <c r="C222" s="23"/>
    </row>
    <row r="223" spans="1:3">
      <c r="A223" s="22"/>
      <c r="B223" s="23"/>
      <c r="C223" s="23"/>
    </row>
    <row r="224" spans="1:3">
      <c r="A224" s="22"/>
      <c r="B224" s="23"/>
      <c r="C224" s="23"/>
    </row>
    <row r="225" spans="1:3">
      <c r="A225" s="22"/>
      <c r="B225" s="23"/>
      <c r="C225" s="23"/>
    </row>
    <row r="226" spans="1:3">
      <c r="A226" s="22"/>
      <c r="B226" s="23"/>
      <c r="C226" s="23"/>
    </row>
    <row r="227" spans="1:3">
      <c r="A227" s="22"/>
      <c r="B227" s="23"/>
      <c r="C227" s="23"/>
    </row>
    <row r="228" spans="1:3">
      <c r="A228" s="22"/>
      <c r="B228" s="23"/>
      <c r="C228" s="23"/>
    </row>
    <row r="229" spans="1:3">
      <c r="A229" s="22"/>
      <c r="B229" s="23"/>
      <c r="C229" s="23"/>
    </row>
    <row r="230" spans="1:3">
      <c r="A230" s="22"/>
      <c r="B230" s="23"/>
      <c r="C230" s="23"/>
    </row>
    <row r="231" spans="1:3">
      <c r="A231" s="22"/>
      <c r="B231" s="23"/>
      <c r="C231" s="23"/>
    </row>
    <row r="232" spans="1:3">
      <c r="A232" s="22"/>
      <c r="B232" s="23"/>
      <c r="C232" s="23"/>
    </row>
    <row r="233" spans="1:3">
      <c r="A233" s="22"/>
      <c r="B233" s="23"/>
      <c r="C233" s="23"/>
    </row>
    <row r="234" spans="1:3">
      <c r="A234" s="22"/>
      <c r="B234" s="23"/>
      <c r="C234" s="23"/>
    </row>
    <row r="235" spans="1:3">
      <c r="A235" s="22"/>
      <c r="B235" s="23"/>
      <c r="C235" s="23"/>
    </row>
    <row r="236" spans="1:3">
      <c r="A236" s="22"/>
      <c r="B236" s="23"/>
      <c r="C236" s="23"/>
    </row>
    <row r="237" spans="1:3">
      <c r="A237" s="22"/>
      <c r="B237" s="23"/>
      <c r="C237" s="23"/>
    </row>
    <row r="238" spans="1:3">
      <c r="A238" s="22"/>
      <c r="B238" s="23"/>
      <c r="C238" s="23"/>
    </row>
    <row r="239" spans="1:3">
      <c r="A239" s="22"/>
      <c r="B239" s="23"/>
      <c r="C239" s="23"/>
    </row>
    <row r="240" spans="1:3">
      <c r="A240" s="22"/>
      <c r="B240" s="23"/>
      <c r="C240" s="23"/>
    </row>
    <row r="241" spans="1:3">
      <c r="A241" s="22"/>
      <c r="B241" s="23"/>
      <c r="C241" s="23"/>
    </row>
    <row r="242" spans="1:3">
      <c r="A242" s="22"/>
      <c r="B242" s="23"/>
      <c r="C242" s="23"/>
    </row>
    <row r="243" spans="1:3">
      <c r="A243" s="22"/>
      <c r="B243" s="23"/>
      <c r="C243" s="23"/>
    </row>
    <row r="244" spans="1:3">
      <c r="A244" s="22"/>
      <c r="B244" s="23"/>
      <c r="C244" s="23"/>
    </row>
    <row r="245" spans="1:3">
      <c r="A245" s="22"/>
      <c r="B245" s="23"/>
      <c r="C245" s="23"/>
    </row>
    <row r="246" spans="1:3">
      <c r="A246" s="22"/>
      <c r="B246" s="23"/>
      <c r="C246" s="23"/>
    </row>
    <row r="247" spans="1:3">
      <c r="A247" s="22"/>
      <c r="B247" s="23"/>
      <c r="C247" s="23"/>
    </row>
    <row r="248" spans="1:3">
      <c r="A248" s="22"/>
      <c r="B248" s="23"/>
      <c r="C248" s="23"/>
    </row>
    <row r="249" spans="1:3">
      <c r="A249" s="22"/>
      <c r="B249" s="23"/>
      <c r="C249" s="23"/>
    </row>
    <row r="250" spans="1:3">
      <c r="A250" s="22"/>
      <c r="B250" s="23"/>
      <c r="C250" s="23"/>
    </row>
    <row r="251" spans="1:3">
      <c r="A251" s="22"/>
      <c r="B251" s="23"/>
      <c r="C251" s="23"/>
    </row>
    <row r="252" spans="1:3">
      <c r="A252" s="22"/>
      <c r="B252" s="23"/>
      <c r="C252" s="23"/>
    </row>
    <row r="253" spans="1:3">
      <c r="A253" s="22"/>
      <c r="B253" s="23"/>
      <c r="C253" s="23"/>
    </row>
    <row r="254" spans="1:3">
      <c r="A254" s="22"/>
      <c r="B254" s="23"/>
      <c r="C254" s="23"/>
    </row>
    <row r="255" spans="1:3">
      <c r="A255" s="22"/>
      <c r="B255" s="23"/>
      <c r="C255" s="23"/>
    </row>
    <row r="256" spans="1:3">
      <c r="A256" s="22"/>
      <c r="B256" s="23"/>
      <c r="C256" s="23"/>
    </row>
    <row r="257" spans="1:3">
      <c r="A257" s="22"/>
      <c r="B257" s="23"/>
      <c r="C257" s="23"/>
    </row>
    <row r="258" spans="1:3">
      <c r="A258" s="22"/>
      <c r="B258" s="23"/>
      <c r="C258" s="23"/>
    </row>
    <row r="259" spans="1:3">
      <c r="A259" s="22"/>
      <c r="B259" s="23"/>
      <c r="C259" s="23"/>
    </row>
    <row r="260" spans="1:3">
      <c r="A260" s="22"/>
      <c r="B260" s="23"/>
      <c r="C260" s="23"/>
    </row>
    <row r="261" spans="1:3">
      <c r="A261" s="22"/>
      <c r="B261" s="23"/>
      <c r="C261" s="23"/>
    </row>
    <row r="262" spans="1:3">
      <c r="A262" s="22"/>
      <c r="B262" s="23"/>
      <c r="C262" s="23"/>
    </row>
    <row r="263" spans="1:3">
      <c r="A263" s="22"/>
      <c r="B263" s="23"/>
      <c r="C263" s="23"/>
    </row>
    <row r="264" spans="1:3">
      <c r="A264" s="22"/>
      <c r="B264" s="23"/>
      <c r="C264" s="23"/>
    </row>
    <row r="265" spans="1:3">
      <c r="A265" s="22"/>
      <c r="B265" s="23"/>
      <c r="C265" s="23"/>
    </row>
    <row r="266" spans="1:3">
      <c r="A266" s="22"/>
      <c r="B266" s="23"/>
      <c r="C266" s="23"/>
    </row>
    <row r="267" spans="1:3">
      <c r="A267" s="22"/>
      <c r="B267" s="23"/>
      <c r="C267" s="23"/>
    </row>
    <row r="268" spans="1:3">
      <c r="A268" s="22"/>
      <c r="B268" s="23"/>
      <c r="C268" s="23"/>
    </row>
    <row r="269" spans="1:3">
      <c r="A269" s="22"/>
      <c r="B269" s="23"/>
      <c r="C269" s="23"/>
    </row>
    <row r="270" spans="1:3">
      <c r="A270" s="22"/>
      <c r="B270" s="23"/>
      <c r="C270" s="23"/>
    </row>
    <row r="271" spans="1:3">
      <c r="A271" s="22"/>
      <c r="B271" s="23"/>
      <c r="C271" s="23"/>
    </row>
    <row r="272" spans="1:3">
      <c r="A272" s="22"/>
      <c r="B272" s="23"/>
      <c r="C272" s="23"/>
    </row>
    <row r="273" spans="1:3">
      <c r="A273" s="22"/>
      <c r="B273" s="23"/>
      <c r="C273" s="23"/>
    </row>
    <row r="274" spans="1:3">
      <c r="A274" s="22"/>
      <c r="B274" s="23"/>
      <c r="C274" s="23"/>
    </row>
    <row r="275" spans="1:3">
      <c r="A275" s="22"/>
      <c r="B275" s="23"/>
      <c r="C275" s="23"/>
    </row>
    <row r="276" spans="1:3">
      <c r="A276" s="22"/>
      <c r="B276" s="23"/>
      <c r="C276" s="23"/>
    </row>
    <row r="277" spans="1:3">
      <c r="A277" s="22"/>
      <c r="B277" s="23"/>
      <c r="C277" s="23"/>
    </row>
    <row r="278" spans="1:3">
      <c r="A278" s="22"/>
      <c r="B278" s="23"/>
      <c r="C278" s="23"/>
    </row>
    <row r="279" spans="1:3">
      <c r="A279" s="22"/>
      <c r="B279" s="23"/>
      <c r="C279" s="23"/>
    </row>
    <row r="280" spans="1:3">
      <c r="A280" s="22"/>
      <c r="B280" s="23"/>
      <c r="C280" s="23"/>
    </row>
    <row r="281" spans="1:3">
      <c r="A281" s="22"/>
      <c r="B281" s="23"/>
      <c r="C281" s="23"/>
    </row>
    <row r="282" spans="1:3">
      <c r="A282" s="22"/>
      <c r="B282" s="23"/>
      <c r="C282" s="23"/>
    </row>
    <row r="283" spans="1:3">
      <c r="A283" s="22"/>
      <c r="B283" s="23"/>
      <c r="C283" s="23"/>
    </row>
    <row r="284" spans="1:3">
      <c r="A284" s="22"/>
      <c r="B284" s="23"/>
      <c r="C284" s="23"/>
    </row>
    <row r="285" spans="1:3">
      <c r="A285" s="22"/>
      <c r="B285" s="23"/>
      <c r="C285" s="23"/>
    </row>
    <row r="286" spans="1:3">
      <c r="A286" s="22"/>
      <c r="B286" s="23"/>
      <c r="C286" s="23"/>
    </row>
    <row r="287" spans="1:3">
      <c r="A287" s="22"/>
      <c r="B287" s="23"/>
      <c r="C287" s="23"/>
    </row>
    <row r="288" spans="1:3">
      <c r="A288" s="22"/>
      <c r="B288" s="23"/>
      <c r="C288" s="23"/>
    </row>
    <row r="289" spans="1:3">
      <c r="A289" s="22"/>
      <c r="B289" s="23"/>
      <c r="C289" s="23"/>
    </row>
    <row r="290" spans="1:3">
      <c r="A290" s="22"/>
      <c r="B290" s="23"/>
      <c r="C290" s="23"/>
    </row>
    <row r="291" spans="1:3">
      <c r="A291" s="22"/>
      <c r="B291" s="23"/>
      <c r="C291" s="23"/>
    </row>
    <row r="292" spans="1:3">
      <c r="A292" s="22"/>
      <c r="B292" s="23"/>
      <c r="C292" s="23"/>
    </row>
    <row r="293" spans="1:3">
      <c r="A293" s="22"/>
      <c r="B293" s="23"/>
      <c r="C293" s="23"/>
    </row>
    <row r="294" spans="1:3">
      <c r="A294" s="22"/>
      <c r="B294" s="23"/>
      <c r="C294" s="23"/>
    </row>
    <row r="295" spans="1:3">
      <c r="A295" s="22"/>
      <c r="B295" s="23"/>
      <c r="C295" s="23"/>
    </row>
    <row r="296" spans="1:3">
      <c r="A296" s="22"/>
      <c r="B296" s="23"/>
      <c r="C296" s="23"/>
    </row>
    <row r="297" spans="1:3">
      <c r="A297" s="22"/>
      <c r="B297" s="23"/>
      <c r="C297" s="23"/>
    </row>
    <row r="298" spans="1:3">
      <c r="A298" s="22"/>
      <c r="B298" s="23"/>
      <c r="C298" s="23"/>
    </row>
    <row r="299" spans="1:3">
      <c r="A299" s="22"/>
      <c r="B299" s="23"/>
      <c r="C299" s="23"/>
    </row>
    <row r="300" spans="1:3">
      <c r="A300" s="22"/>
      <c r="B300" s="23"/>
      <c r="C300" s="23"/>
    </row>
    <row r="301" spans="1:3">
      <c r="A301" s="22"/>
      <c r="B301" s="23"/>
      <c r="C301" s="23"/>
    </row>
    <row r="302" spans="1:3">
      <c r="A302" s="22"/>
      <c r="B302" s="23"/>
      <c r="C302" s="23"/>
    </row>
    <row r="303" spans="1:3">
      <c r="A303" s="22"/>
      <c r="B303" s="23"/>
      <c r="C303" s="23"/>
    </row>
    <row r="304" spans="1:3">
      <c r="A304" s="22"/>
      <c r="B304" s="23"/>
      <c r="C304" s="23"/>
    </row>
    <row r="305" spans="1:3">
      <c r="A305" s="22"/>
      <c r="B305" s="23"/>
      <c r="C305" s="23"/>
    </row>
    <row r="306" spans="1:3">
      <c r="A306" s="22"/>
      <c r="B306" s="23"/>
      <c r="C306" s="23"/>
    </row>
    <row r="307" spans="1:3">
      <c r="A307" s="22"/>
      <c r="B307" s="23"/>
      <c r="C307" s="23"/>
    </row>
    <row r="308" spans="1:3">
      <c r="A308" s="22"/>
      <c r="B308" s="23"/>
      <c r="C308" s="23"/>
    </row>
    <row r="309" spans="1:3">
      <c r="A309" s="22"/>
      <c r="B309" s="23"/>
      <c r="C309" s="23"/>
    </row>
    <row r="310" spans="1:3">
      <c r="A310" s="22"/>
      <c r="B310" s="23"/>
      <c r="C310" s="23"/>
    </row>
    <row r="311" spans="1:3">
      <c r="A311" s="22"/>
      <c r="B311" s="23"/>
      <c r="C311" s="23"/>
    </row>
    <row r="312" spans="1:3">
      <c r="A312" s="22"/>
      <c r="B312" s="23"/>
      <c r="C312" s="23"/>
    </row>
    <row r="313" spans="1:3">
      <c r="A313" s="22"/>
      <c r="B313" s="23"/>
      <c r="C313" s="23"/>
    </row>
    <row r="314" spans="1:3">
      <c r="A314" s="22"/>
      <c r="B314" s="23"/>
      <c r="C314" s="23"/>
    </row>
    <row r="315" spans="1:3">
      <c r="A315" s="22"/>
      <c r="B315" s="23"/>
      <c r="C315" s="23"/>
    </row>
    <row r="316" spans="1:3">
      <c r="A316" s="22"/>
      <c r="B316" s="23"/>
      <c r="C316" s="23"/>
    </row>
    <row r="317" spans="1:3">
      <c r="A317" s="22"/>
      <c r="B317" s="23"/>
      <c r="C317" s="23"/>
    </row>
    <row r="318" spans="1:3">
      <c r="A318" s="22"/>
      <c r="B318" s="23"/>
      <c r="C318" s="23"/>
    </row>
    <row r="319" spans="1:3">
      <c r="A319" s="22"/>
      <c r="B319" s="23"/>
      <c r="C319" s="23"/>
    </row>
    <row r="320" spans="1:3">
      <c r="A320" s="22"/>
      <c r="B320" s="23"/>
      <c r="C320" s="23"/>
    </row>
    <row r="321" spans="1:3">
      <c r="A321" s="22"/>
      <c r="B321" s="23"/>
      <c r="C321" s="23"/>
    </row>
    <row r="322" spans="1:3">
      <c r="A322" s="22"/>
      <c r="B322" s="23"/>
      <c r="C322" s="23"/>
    </row>
    <row r="323" spans="1:3">
      <c r="A323" s="22"/>
      <c r="B323" s="23"/>
      <c r="C323" s="23"/>
    </row>
    <row r="324" spans="1:3">
      <c r="A324" s="22"/>
      <c r="B324" s="23"/>
      <c r="C324" s="23"/>
    </row>
    <row r="325" spans="1:3">
      <c r="A325" s="22"/>
      <c r="B325" s="23"/>
      <c r="C325" s="23"/>
    </row>
    <row r="326" spans="1:3">
      <c r="A326" s="22"/>
      <c r="B326" s="23"/>
      <c r="C326" s="23"/>
    </row>
    <row r="327" spans="1:3">
      <c r="A327" s="22"/>
      <c r="B327" s="23"/>
      <c r="C327" s="23"/>
    </row>
    <row r="328" spans="1:3">
      <c r="A328" s="22"/>
      <c r="B328" s="23"/>
      <c r="C328" s="23"/>
    </row>
    <row r="329" spans="1:3">
      <c r="A329" s="22"/>
      <c r="B329" s="23"/>
      <c r="C329" s="23"/>
    </row>
    <row r="330" spans="1:3">
      <c r="A330" s="22"/>
      <c r="B330" s="23"/>
      <c r="C330" s="23"/>
    </row>
    <row r="331" spans="1:3">
      <c r="A331" s="22"/>
      <c r="B331" s="23"/>
      <c r="C331" s="23"/>
    </row>
    <row r="332" spans="1:3">
      <c r="A332" s="22"/>
      <c r="B332" s="23"/>
      <c r="C332" s="23"/>
    </row>
    <row r="333" spans="1:3">
      <c r="A333" s="22"/>
      <c r="B333" s="23"/>
      <c r="C333" s="23"/>
    </row>
    <row r="334" spans="1:3">
      <c r="A334" s="22"/>
      <c r="B334" s="23"/>
      <c r="C334" s="23"/>
    </row>
    <row r="335" spans="1:3">
      <c r="A335" s="22"/>
      <c r="B335" s="23"/>
      <c r="C335" s="23"/>
    </row>
    <row r="336" spans="1:3">
      <c r="A336" s="22"/>
      <c r="B336" s="23"/>
      <c r="C336" s="23"/>
    </row>
    <row r="337" spans="1:3">
      <c r="A337" s="22"/>
      <c r="B337" s="23"/>
      <c r="C337" s="23"/>
    </row>
    <row r="338" spans="1:3">
      <c r="A338" s="22"/>
      <c r="B338" s="23"/>
      <c r="C338" s="23"/>
    </row>
    <row r="339" spans="1:3">
      <c r="A339" s="22"/>
      <c r="B339" s="23"/>
      <c r="C339" s="23"/>
    </row>
    <row r="340" spans="1:3">
      <c r="A340" s="22"/>
      <c r="B340" s="23"/>
      <c r="C340" s="23"/>
    </row>
    <row r="341" spans="1:3">
      <c r="A341" s="22"/>
      <c r="B341" s="23"/>
      <c r="C341" s="23"/>
    </row>
    <row r="342" spans="1:3">
      <c r="A342" s="22"/>
      <c r="B342" s="23"/>
      <c r="C342" s="23"/>
    </row>
    <row r="343" spans="1:3">
      <c r="A343" s="22"/>
      <c r="B343" s="23"/>
      <c r="C343" s="23"/>
    </row>
    <row r="344" spans="1:3">
      <c r="A344" s="22"/>
      <c r="B344" s="23"/>
      <c r="C344" s="23"/>
    </row>
    <row r="345" spans="1:3">
      <c r="A345" s="22"/>
      <c r="B345" s="23"/>
      <c r="C345" s="23"/>
    </row>
    <row r="346" spans="1:3">
      <c r="A346" s="22"/>
      <c r="B346" s="23"/>
      <c r="C346" s="23"/>
    </row>
    <row r="347" spans="1:3">
      <c r="A347" s="22"/>
      <c r="B347" s="23"/>
      <c r="C347" s="23"/>
    </row>
    <row r="348" spans="1:3">
      <c r="A348" s="22"/>
      <c r="B348" s="23"/>
      <c r="C348" s="23"/>
    </row>
    <row r="349" spans="1:3">
      <c r="A349" s="22"/>
      <c r="B349" s="23"/>
      <c r="C349" s="23"/>
    </row>
    <row r="350" spans="1:3">
      <c r="A350" s="22"/>
      <c r="B350" s="23"/>
      <c r="C350" s="23"/>
    </row>
    <row r="351" spans="1:3">
      <c r="A351" s="22"/>
      <c r="B351" s="23"/>
      <c r="C351" s="23"/>
    </row>
    <row r="352" spans="1:3">
      <c r="A352" s="22"/>
      <c r="B352" s="23"/>
      <c r="C352" s="23"/>
    </row>
    <row r="353" spans="1:3">
      <c r="A353" s="22"/>
      <c r="B353" s="23"/>
      <c r="C353" s="23"/>
    </row>
    <row r="354" spans="1:3">
      <c r="A354" s="22"/>
      <c r="B354" s="23"/>
      <c r="C354" s="23"/>
    </row>
    <row r="355" spans="1:3">
      <c r="A355" s="22"/>
      <c r="B355" s="23"/>
      <c r="C355" s="23"/>
    </row>
    <row r="356" spans="1:3">
      <c r="A356" s="22"/>
      <c r="B356" s="23"/>
      <c r="C356" s="23"/>
    </row>
    <row r="357" spans="1:3">
      <c r="A357" s="22"/>
      <c r="B357" s="23"/>
      <c r="C357" s="23"/>
    </row>
    <row r="358" spans="1:3">
      <c r="A358" s="22"/>
      <c r="B358" s="23"/>
      <c r="C358" s="23"/>
    </row>
    <row r="359" spans="1:3">
      <c r="A359" s="22"/>
      <c r="B359" s="23"/>
      <c r="C359" s="23"/>
    </row>
    <row r="360" spans="1:3">
      <c r="A360" s="22"/>
      <c r="B360" s="23"/>
      <c r="C360" s="23"/>
    </row>
    <row r="361" spans="1:3">
      <c r="A361" s="22"/>
      <c r="B361" s="23"/>
      <c r="C361" s="23"/>
    </row>
    <row r="362" spans="1:3">
      <c r="A362" s="22"/>
      <c r="B362" s="23"/>
      <c r="C362" s="23"/>
    </row>
    <row r="363" spans="1:3">
      <c r="A363" s="22"/>
      <c r="B363" s="23"/>
      <c r="C363" s="23"/>
    </row>
    <row r="364" spans="1:3">
      <c r="A364" s="22"/>
      <c r="B364" s="23"/>
      <c r="C364" s="23"/>
    </row>
    <row r="365" spans="1:3">
      <c r="A365" s="22"/>
      <c r="B365" s="23"/>
      <c r="C365" s="23"/>
    </row>
    <row r="366" spans="1:3">
      <c r="A366" s="22"/>
      <c r="B366" s="23"/>
      <c r="C366" s="23"/>
    </row>
    <row r="367" spans="1:3">
      <c r="A367" s="22"/>
      <c r="B367" s="23"/>
      <c r="C367" s="23"/>
    </row>
    <row r="368" spans="1:3">
      <c r="A368" s="22"/>
      <c r="B368" s="23"/>
      <c r="C368" s="23"/>
    </row>
    <row r="369" spans="1:3">
      <c r="A369" s="22"/>
      <c r="B369" s="23"/>
      <c r="C369" s="23"/>
    </row>
    <row r="370" spans="1:3">
      <c r="A370" s="22"/>
      <c r="B370" s="23"/>
      <c r="C370" s="23"/>
    </row>
    <row r="371" spans="1:3">
      <c r="A371" s="22"/>
      <c r="B371" s="23"/>
      <c r="C371" s="23"/>
    </row>
    <row r="372" spans="1:3">
      <c r="A372" s="22"/>
      <c r="B372" s="23"/>
      <c r="C372" s="23"/>
    </row>
    <row r="373" spans="1:3">
      <c r="A373" s="22"/>
      <c r="B373" s="23"/>
      <c r="C373" s="23"/>
    </row>
    <row r="374" spans="1:3">
      <c r="A374" s="22"/>
      <c r="B374" s="23"/>
      <c r="C374" s="23"/>
    </row>
    <row r="375" spans="1:3">
      <c r="A375" s="22"/>
      <c r="B375" s="23"/>
      <c r="C375" s="23"/>
    </row>
    <row r="376" spans="1:3">
      <c r="A376" s="22"/>
      <c r="B376" s="23"/>
      <c r="C376" s="23"/>
    </row>
    <row r="377" spans="1:3">
      <c r="A377" s="22"/>
      <c r="B377" s="23"/>
      <c r="C377" s="23"/>
    </row>
    <row r="378" spans="1:3">
      <c r="A378" s="22"/>
      <c r="B378" s="23"/>
      <c r="C378" s="23"/>
    </row>
    <row r="379" spans="1:3">
      <c r="A379" s="22"/>
      <c r="B379" s="23"/>
      <c r="C379" s="23"/>
    </row>
    <row r="380" spans="1:3">
      <c r="A380" s="22"/>
      <c r="B380" s="23"/>
      <c r="C380" s="23"/>
    </row>
    <row r="381" spans="1:3">
      <c r="A381" s="22"/>
      <c r="B381" s="23"/>
      <c r="C381" s="23"/>
    </row>
    <row r="382" spans="1:3">
      <c r="A382" s="22"/>
      <c r="B382" s="23"/>
      <c r="C382" s="23"/>
    </row>
    <row r="383" spans="1:3">
      <c r="A383" s="22"/>
      <c r="B383" s="23"/>
      <c r="C383" s="23"/>
    </row>
    <row r="384" spans="1:3">
      <c r="A384" s="22"/>
      <c r="B384" s="23"/>
      <c r="C384" s="23"/>
    </row>
    <row r="385" spans="1:3">
      <c r="A385" s="22"/>
      <c r="B385" s="23"/>
      <c r="C385" s="23"/>
    </row>
    <row r="386" spans="1:3">
      <c r="A386" s="22"/>
      <c r="B386" s="23"/>
      <c r="C386" s="23"/>
    </row>
    <row r="387" spans="1:3">
      <c r="A387" s="22"/>
      <c r="B387" s="23"/>
      <c r="C387" s="23"/>
    </row>
    <row r="388" spans="1:3">
      <c r="A388" s="22"/>
      <c r="B388" s="23"/>
      <c r="C388" s="23"/>
    </row>
    <row r="389" spans="1:3">
      <c r="A389" s="22"/>
      <c r="B389" s="23"/>
      <c r="C389" s="23"/>
    </row>
    <row r="390" spans="1:3">
      <c r="A390" s="22"/>
      <c r="B390" s="23"/>
      <c r="C390" s="23"/>
    </row>
    <row r="391" spans="1:3">
      <c r="A391" s="22"/>
      <c r="B391" s="23"/>
      <c r="C391" s="23"/>
    </row>
    <row r="392" spans="1:3">
      <c r="A392" s="22"/>
      <c r="B392" s="23"/>
      <c r="C392" s="23"/>
    </row>
    <row r="393" spans="1:3">
      <c r="A393" s="22"/>
      <c r="B393" s="23"/>
      <c r="C393" s="23"/>
    </row>
    <row r="394" spans="1:3">
      <c r="A394" s="22"/>
      <c r="B394" s="23"/>
      <c r="C394" s="23"/>
    </row>
    <row r="395" spans="1:3">
      <c r="A395" s="22"/>
      <c r="B395" s="23"/>
      <c r="C395" s="23"/>
    </row>
    <row r="396" spans="1:3">
      <c r="A396" s="22"/>
      <c r="B396" s="23"/>
      <c r="C396" s="23"/>
    </row>
    <row r="397" spans="1:3">
      <c r="A397" s="22"/>
      <c r="B397" s="23"/>
      <c r="C397" s="23"/>
    </row>
    <row r="398" spans="1:3">
      <c r="A398" s="22"/>
      <c r="B398" s="23"/>
      <c r="C398" s="23"/>
    </row>
    <row r="399" spans="1:3">
      <c r="A399" s="22"/>
      <c r="B399" s="23"/>
      <c r="C399" s="23"/>
    </row>
    <row r="400" spans="1:3">
      <c r="A400" s="22"/>
      <c r="B400" s="23"/>
      <c r="C400" s="23"/>
    </row>
    <row r="401" spans="1:3">
      <c r="A401" s="22"/>
      <c r="B401" s="23"/>
      <c r="C401" s="23"/>
    </row>
    <row r="402" spans="1:3">
      <c r="A402" s="22"/>
      <c r="B402" s="23"/>
      <c r="C402" s="23"/>
    </row>
    <row r="403" spans="1:3">
      <c r="A403" s="22"/>
      <c r="B403" s="23"/>
      <c r="C403" s="23"/>
    </row>
    <row r="404" spans="1:3">
      <c r="A404" s="22"/>
      <c r="B404" s="23"/>
      <c r="C404" s="23"/>
    </row>
    <row r="405" spans="1:3">
      <c r="A405" s="22"/>
      <c r="B405" s="23"/>
      <c r="C405" s="23"/>
    </row>
    <row r="406" spans="1:3">
      <c r="A406" s="22"/>
      <c r="B406" s="23"/>
      <c r="C406" s="23"/>
    </row>
    <row r="407" spans="1:3">
      <c r="A407" s="22"/>
      <c r="B407" s="23"/>
      <c r="C407" s="23"/>
    </row>
    <row r="408" spans="1:3">
      <c r="A408" s="22"/>
      <c r="B408" s="23"/>
      <c r="C408" s="23"/>
    </row>
    <row r="409" spans="1:3">
      <c r="A409" s="22"/>
      <c r="B409" s="23"/>
      <c r="C409" s="23"/>
    </row>
    <row r="410" spans="1:3">
      <c r="A410" s="22"/>
      <c r="B410" s="23"/>
      <c r="C410" s="23"/>
    </row>
    <row r="411" spans="1:3">
      <c r="A411" s="22"/>
      <c r="B411" s="23"/>
      <c r="C411" s="23"/>
    </row>
    <row r="412" spans="1:3">
      <c r="A412" s="22"/>
      <c r="B412" s="23"/>
      <c r="C412" s="23"/>
    </row>
    <row r="413" spans="1:3">
      <c r="A413" s="22"/>
      <c r="B413" s="23"/>
      <c r="C413" s="23"/>
    </row>
    <row r="414" spans="1:3">
      <c r="A414" s="22"/>
      <c r="B414" s="23"/>
      <c r="C414" s="23"/>
    </row>
    <row r="415" spans="1:3">
      <c r="A415" s="22"/>
      <c r="B415" s="23"/>
      <c r="C415" s="23"/>
    </row>
    <row r="416" spans="1:3">
      <c r="A416" s="22"/>
      <c r="B416" s="23"/>
      <c r="C416" s="23"/>
    </row>
    <row r="417" spans="1:3">
      <c r="A417" s="22"/>
      <c r="B417" s="23"/>
      <c r="C417" s="23"/>
    </row>
    <row r="418" spans="1:3">
      <c r="A418" s="22"/>
      <c r="B418" s="23"/>
      <c r="C418" s="23"/>
    </row>
    <row r="419" spans="1:3">
      <c r="A419" s="22"/>
      <c r="B419" s="23"/>
      <c r="C419" s="23"/>
    </row>
    <row r="420" spans="1:3">
      <c r="A420" s="22"/>
      <c r="B420" s="23"/>
      <c r="C420" s="23"/>
    </row>
    <row r="421" spans="1:3">
      <c r="A421" s="22"/>
      <c r="B421" s="23"/>
      <c r="C421" s="23"/>
    </row>
    <row r="422" spans="1:3">
      <c r="A422" s="22"/>
      <c r="B422" s="23"/>
      <c r="C422" s="23"/>
    </row>
    <row r="423" spans="1:3">
      <c r="A423" s="22"/>
      <c r="B423" s="23"/>
      <c r="C423" s="23"/>
    </row>
    <row r="424" spans="1:3">
      <c r="A424" s="22"/>
      <c r="B424" s="23"/>
      <c r="C424" s="23"/>
    </row>
    <row r="425" spans="1:3">
      <c r="A425" s="22"/>
      <c r="B425" s="23"/>
      <c r="C425" s="23"/>
    </row>
    <row r="426" spans="1:3">
      <c r="A426" s="22"/>
      <c r="B426" s="23"/>
      <c r="C426" s="23"/>
    </row>
    <row r="427" spans="1:3">
      <c r="A427" s="22"/>
      <c r="B427" s="23"/>
      <c r="C427" s="23"/>
    </row>
    <row r="428" spans="1:3">
      <c r="A428" s="22"/>
      <c r="B428" s="23"/>
      <c r="C428" s="23"/>
    </row>
    <row r="429" spans="1:3">
      <c r="A429" s="22"/>
      <c r="B429" s="23"/>
      <c r="C429" s="23"/>
    </row>
    <row r="430" spans="1:3">
      <c r="A430" s="22"/>
      <c r="B430" s="23"/>
      <c r="C430" s="23"/>
    </row>
    <row r="431" spans="1:3">
      <c r="A431" s="22"/>
      <c r="B431" s="23"/>
      <c r="C431" s="23"/>
    </row>
    <row r="432" spans="1:3">
      <c r="A432" s="22"/>
      <c r="B432" s="23"/>
      <c r="C432" s="23"/>
    </row>
    <row r="433" spans="1:3">
      <c r="A433" s="22"/>
      <c r="B433" s="23"/>
      <c r="C433" s="23"/>
    </row>
    <row r="434" spans="1:3">
      <c r="A434" s="22"/>
      <c r="B434" s="23"/>
      <c r="C434" s="23"/>
    </row>
    <row r="435" spans="1:3">
      <c r="A435" s="22"/>
      <c r="B435" s="23"/>
      <c r="C435" s="23"/>
    </row>
    <row r="436" spans="1:3">
      <c r="A436" s="22"/>
      <c r="B436" s="23"/>
      <c r="C436" s="23"/>
    </row>
    <row r="437" spans="1:3">
      <c r="A437" s="22"/>
      <c r="B437" s="23"/>
      <c r="C437" s="23"/>
    </row>
    <row r="438" spans="1:3">
      <c r="A438" s="22"/>
      <c r="B438" s="23"/>
      <c r="C438" s="23"/>
    </row>
    <row r="439" spans="1:3">
      <c r="A439" s="22"/>
      <c r="B439" s="23"/>
      <c r="C439" s="23"/>
    </row>
    <row r="440" spans="1:3">
      <c r="A440" s="22"/>
      <c r="B440" s="23"/>
      <c r="C440" s="23"/>
    </row>
    <row r="441" spans="1:3">
      <c r="A441" s="22"/>
      <c r="B441" s="23"/>
      <c r="C441" s="23"/>
    </row>
    <row r="442" spans="1:3">
      <c r="A442" s="22"/>
      <c r="B442" s="23"/>
      <c r="C442" s="23"/>
    </row>
    <row r="443" spans="1:3">
      <c r="A443" s="22"/>
      <c r="B443" s="23"/>
      <c r="C443" s="23"/>
    </row>
    <row r="444" spans="1:3">
      <c r="A444" s="22"/>
      <c r="B444" s="23"/>
      <c r="C444" s="23"/>
    </row>
    <row r="445" spans="1:3">
      <c r="A445" s="22"/>
      <c r="B445" s="23"/>
      <c r="C445" s="23"/>
    </row>
    <row r="446" spans="1:3">
      <c r="A446" s="22"/>
      <c r="B446" s="23"/>
      <c r="C446" s="23"/>
    </row>
    <row r="447" spans="1:3">
      <c r="A447" s="22"/>
      <c r="B447" s="23"/>
      <c r="C447" s="23"/>
    </row>
    <row r="448" spans="1:3">
      <c r="A448" s="22"/>
      <c r="B448" s="23"/>
      <c r="C448" s="23"/>
    </row>
    <row r="449" spans="1:3">
      <c r="A449" s="22"/>
      <c r="B449" s="23"/>
      <c r="C449" s="23"/>
    </row>
    <row r="450" spans="1:3">
      <c r="A450" s="22"/>
      <c r="B450" s="23"/>
      <c r="C450" s="23"/>
    </row>
    <row r="451" spans="1:3">
      <c r="A451" s="22"/>
      <c r="B451" s="23"/>
      <c r="C451" s="23"/>
    </row>
    <row r="452" spans="1:3">
      <c r="A452" s="22"/>
      <c r="B452" s="23"/>
      <c r="C452" s="23"/>
    </row>
    <row r="453" spans="1:3">
      <c r="A453" s="22"/>
      <c r="B453" s="23"/>
      <c r="C453" s="23"/>
    </row>
    <row r="454" spans="1:3">
      <c r="A454" s="22"/>
      <c r="B454" s="23"/>
      <c r="C454" s="23"/>
    </row>
    <row r="455" spans="1:3">
      <c r="A455" s="22"/>
      <c r="B455" s="23"/>
      <c r="C455" s="23"/>
    </row>
    <row r="456" spans="1:3">
      <c r="A456" s="22"/>
      <c r="B456" s="23"/>
      <c r="C456" s="23"/>
    </row>
    <row r="457" spans="1:3">
      <c r="A457" s="22"/>
      <c r="B457" s="23"/>
      <c r="C457" s="23"/>
    </row>
    <row r="458" spans="1:3">
      <c r="A458" s="22"/>
      <c r="B458" s="23"/>
      <c r="C458" s="23"/>
    </row>
    <row r="459" spans="1:3">
      <c r="A459" s="22"/>
      <c r="B459" s="23"/>
      <c r="C459" s="23"/>
    </row>
    <row r="460" spans="1:3">
      <c r="A460" s="22"/>
      <c r="B460" s="23"/>
      <c r="C460" s="23"/>
    </row>
    <row r="461" spans="1:3">
      <c r="A461" s="22"/>
      <c r="B461" s="23"/>
      <c r="C461" s="23"/>
    </row>
    <row r="462" spans="1:3">
      <c r="A462" s="22"/>
      <c r="B462" s="23"/>
      <c r="C462" s="23"/>
    </row>
    <row r="463" spans="1:3">
      <c r="A463" s="22"/>
      <c r="B463" s="23"/>
      <c r="C463" s="23"/>
    </row>
    <row r="464" spans="1:3">
      <c r="A464" s="22"/>
      <c r="B464" s="23"/>
      <c r="C464" s="23"/>
    </row>
    <row r="465" spans="1:3">
      <c r="A465" s="22"/>
      <c r="B465" s="23"/>
      <c r="C465" s="23"/>
    </row>
    <row r="466" spans="1:3">
      <c r="A466" s="22"/>
      <c r="B466" s="23"/>
      <c r="C466" s="23"/>
    </row>
    <row r="467" spans="1:3">
      <c r="A467" s="22"/>
      <c r="B467" s="23"/>
      <c r="C467" s="23"/>
    </row>
    <row r="468" spans="1:3">
      <c r="A468" s="22"/>
      <c r="B468" s="23"/>
      <c r="C468" s="23"/>
    </row>
    <row r="469" spans="1:3">
      <c r="A469" s="22"/>
      <c r="B469" s="23"/>
      <c r="C469" s="23"/>
    </row>
    <row r="470" spans="1:3">
      <c r="A470" s="22"/>
      <c r="B470" s="23"/>
      <c r="C470" s="23"/>
    </row>
    <row r="471" spans="1:3">
      <c r="A471" s="22"/>
      <c r="B471" s="23"/>
      <c r="C471" s="23"/>
    </row>
    <row r="472" spans="1:3">
      <c r="A472" s="22"/>
      <c r="B472" s="23"/>
      <c r="C472" s="23"/>
    </row>
    <row r="473" spans="1:3">
      <c r="A473" s="22"/>
      <c r="B473" s="23"/>
      <c r="C473" s="23"/>
    </row>
    <row r="474" spans="1:3">
      <c r="A474" s="22"/>
      <c r="B474" s="23"/>
      <c r="C474" s="23"/>
    </row>
    <row r="475" spans="1:3">
      <c r="A475" s="22"/>
      <c r="B475" s="23"/>
      <c r="C475" s="23"/>
    </row>
    <row r="476" spans="1:3">
      <c r="A476" s="22"/>
      <c r="B476" s="23"/>
      <c r="C476" s="23"/>
    </row>
    <row r="477" spans="1:3">
      <c r="A477" s="22"/>
      <c r="B477" s="23"/>
      <c r="C477" s="23"/>
    </row>
    <row r="478" spans="1:3">
      <c r="A478" s="22"/>
      <c r="B478" s="23"/>
      <c r="C478" s="23"/>
    </row>
    <row r="479" spans="1:3">
      <c r="A479" s="22"/>
      <c r="B479" s="23"/>
      <c r="C479" s="23"/>
    </row>
    <row r="480" spans="1:3">
      <c r="A480" s="22"/>
      <c r="B480" s="23"/>
      <c r="C480" s="23"/>
    </row>
    <row r="481" spans="1:3">
      <c r="A481" s="22"/>
      <c r="B481" s="23"/>
      <c r="C481" s="23"/>
    </row>
    <row r="482" spans="1:3">
      <c r="A482" s="22"/>
      <c r="B482" s="23"/>
      <c r="C482" s="23"/>
    </row>
    <row r="483" spans="1:3">
      <c r="A483" s="22"/>
      <c r="B483" s="23"/>
      <c r="C483" s="23"/>
    </row>
    <row r="484" spans="1:3">
      <c r="A484" s="22"/>
      <c r="B484" s="23"/>
      <c r="C484" s="23"/>
    </row>
    <row r="485" spans="1:3">
      <c r="A485" s="22"/>
      <c r="B485" s="23"/>
      <c r="C485" s="23"/>
    </row>
    <row r="486" spans="1:3">
      <c r="A486" s="22"/>
      <c r="B486" s="23"/>
      <c r="C486" s="23"/>
    </row>
    <row r="487" spans="1:3">
      <c r="A487" s="22"/>
      <c r="B487" s="23"/>
      <c r="C487" s="23"/>
    </row>
    <row r="488" spans="1:3">
      <c r="A488" s="22"/>
      <c r="B488" s="23"/>
      <c r="C488" s="23"/>
    </row>
    <row r="489" spans="1:3">
      <c r="A489" s="22"/>
      <c r="B489" s="23"/>
      <c r="C489" s="23"/>
    </row>
    <row r="490" spans="1:3">
      <c r="A490" s="22"/>
      <c r="B490" s="23"/>
      <c r="C490" s="23"/>
    </row>
    <row r="491" spans="1:3">
      <c r="A491" s="22"/>
      <c r="B491" s="23"/>
      <c r="C491" s="23"/>
    </row>
    <row r="492" spans="1:3">
      <c r="A492" s="22"/>
      <c r="B492" s="23"/>
      <c r="C492" s="23"/>
    </row>
    <row r="493" spans="1:3">
      <c r="A493" s="22"/>
      <c r="B493" s="23"/>
      <c r="C493" s="23"/>
    </row>
    <row r="494" spans="1:3">
      <c r="A494" s="22"/>
      <c r="B494" s="23"/>
      <c r="C494" s="23"/>
    </row>
    <row r="495" spans="1:3">
      <c r="A495" s="22"/>
      <c r="B495" s="23"/>
      <c r="C495" s="23"/>
    </row>
    <row r="496" spans="1:3">
      <c r="A496" s="22"/>
      <c r="B496" s="23"/>
      <c r="C496" s="23"/>
    </row>
    <row r="497" spans="1:3">
      <c r="A497" s="22"/>
      <c r="B497" s="23"/>
      <c r="C497" s="23"/>
    </row>
    <row r="498" spans="1:3">
      <c r="A498" s="22"/>
      <c r="B498" s="23"/>
      <c r="C498" s="23"/>
    </row>
    <row r="499" spans="1:3">
      <c r="A499" s="22"/>
      <c r="B499" s="23"/>
      <c r="C499" s="23"/>
    </row>
    <row r="500" spans="1:3">
      <c r="A500" s="22"/>
      <c r="B500" s="23"/>
      <c r="C500" s="23"/>
    </row>
    <row r="501" spans="1:3">
      <c r="A501" s="22"/>
      <c r="B501" s="23"/>
      <c r="C501" s="23"/>
    </row>
    <row r="502" spans="1:3">
      <c r="A502" s="22"/>
      <c r="B502" s="23"/>
      <c r="C502" s="23"/>
    </row>
    <row r="503" spans="1:3">
      <c r="A503" s="22"/>
      <c r="B503" s="23"/>
      <c r="C503" s="23"/>
    </row>
    <row r="504" spans="1:3">
      <c r="A504" s="22"/>
      <c r="B504" s="23"/>
      <c r="C504" s="23"/>
    </row>
    <row r="505" spans="1:3">
      <c r="A505" s="22"/>
      <c r="B505" s="23"/>
      <c r="C505" s="23"/>
    </row>
    <row r="506" spans="1:3">
      <c r="A506" s="22"/>
      <c r="B506" s="23"/>
      <c r="C506" s="23"/>
    </row>
    <row r="507" spans="1:3">
      <c r="A507" s="22"/>
      <c r="B507" s="23"/>
      <c r="C507" s="23"/>
    </row>
    <row r="508" spans="1:3">
      <c r="A508" s="22"/>
      <c r="B508" s="23"/>
      <c r="C508" s="23"/>
    </row>
    <row r="509" spans="1:3">
      <c r="A509" s="22"/>
      <c r="B509" s="23"/>
      <c r="C509" s="23"/>
    </row>
    <row r="510" spans="1:3">
      <c r="A510" s="22"/>
      <c r="B510" s="23"/>
      <c r="C510" s="23"/>
    </row>
    <row r="511" spans="1:3">
      <c r="A511" s="22"/>
      <c r="B511" s="23"/>
      <c r="C511" s="23"/>
    </row>
    <row r="512" spans="1:3">
      <c r="A512" s="22"/>
      <c r="B512" s="23"/>
      <c r="C512" s="23"/>
    </row>
    <row r="513" spans="1:3">
      <c r="A513" s="22"/>
      <c r="B513" s="23"/>
      <c r="C513" s="23"/>
    </row>
    <row r="514" spans="1:3">
      <c r="A514" s="22"/>
      <c r="B514" s="23"/>
      <c r="C514" s="23"/>
    </row>
    <row r="515" spans="1:3">
      <c r="A515" s="22"/>
    </row>
    <row r="516" spans="1:3">
      <c r="A516" s="22"/>
    </row>
    <row r="517" spans="1:3">
      <c r="A517" s="22"/>
    </row>
    <row r="518" spans="1:3">
      <c r="A518" s="22"/>
    </row>
    <row r="519" spans="1:3">
      <c r="A519" s="22"/>
    </row>
    <row r="520" spans="1:3">
      <c r="A520" s="22"/>
    </row>
    <row r="521" spans="1:3">
      <c r="A521" s="22"/>
    </row>
    <row r="522" spans="1:3">
      <c r="A522" s="22"/>
    </row>
    <row r="523" spans="1:3">
      <c r="A523" s="22"/>
    </row>
    <row r="524" spans="1:3">
      <c r="A524" s="22"/>
    </row>
    <row r="525" spans="1:3">
      <c r="A525" s="22"/>
    </row>
    <row r="526" spans="1:3">
      <c r="A526" s="22"/>
    </row>
    <row r="527" spans="1:3">
      <c r="A527" s="22"/>
    </row>
    <row r="528" spans="1:3">
      <c r="A528" s="22"/>
    </row>
    <row r="529" spans="1:1">
      <c r="A529" s="2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K24"/>
  <sheetViews>
    <sheetView topLeftCell="C1" workbookViewId="0">
      <selection activeCell="G4" sqref="G4"/>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21.85546875" customWidth="1"/>
    <col min="8" max="8" width="7.5703125" customWidth="1"/>
    <col min="9" max="9" width="32.42578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s="22" customFormat="1">
      <c r="B2" s="22">
        <f>HEX2DEC(C2)</f>
        <v>320</v>
      </c>
      <c r="C2" s="22" t="s">
        <v>338</v>
      </c>
      <c r="E2" s="22" t="s">
        <v>132</v>
      </c>
      <c r="F2" s="22" t="s">
        <v>339</v>
      </c>
      <c r="H2" s="24"/>
    </row>
    <row r="3" spans="1:11" s="1" customFormat="1" ht="45">
      <c r="A3" s="1">
        <v>1</v>
      </c>
      <c r="B3" s="4">
        <f t="shared" ref="B3:B8" si="0">$B$2+A3-1</f>
        <v>320</v>
      </c>
      <c r="C3" s="4" t="str">
        <f t="shared" ref="C3:C8" si="1">DEC2HEX(B3,4)</f>
        <v>0140</v>
      </c>
      <c r="E3" s="1" t="s">
        <v>132</v>
      </c>
      <c r="F3" s="1" t="s">
        <v>340</v>
      </c>
      <c r="G3" s="1" t="s">
        <v>114</v>
      </c>
      <c r="H3" s="9"/>
      <c r="I3" s="55" t="s">
        <v>341</v>
      </c>
    </row>
    <row r="4" spans="1:11" s="22" customFormat="1" ht="105">
      <c r="A4" s="22">
        <v>2</v>
      </c>
      <c r="B4" s="23">
        <f t="shared" si="0"/>
        <v>321</v>
      </c>
      <c r="C4" s="23" t="str">
        <f t="shared" si="1"/>
        <v>0141</v>
      </c>
      <c r="E4" s="22" t="s">
        <v>132</v>
      </c>
      <c r="F4" s="22" t="s">
        <v>342</v>
      </c>
      <c r="G4" s="22" t="s">
        <v>114</v>
      </c>
      <c r="H4" s="24"/>
      <c r="I4" s="55" t="s">
        <v>343</v>
      </c>
    </row>
    <row r="5" spans="1:11" s="1" customFormat="1" ht="30">
      <c r="A5" s="1">
        <v>3</v>
      </c>
      <c r="B5" s="4">
        <f t="shared" si="0"/>
        <v>322</v>
      </c>
      <c r="C5" s="4" t="str">
        <f t="shared" si="1"/>
        <v>0142</v>
      </c>
      <c r="E5" s="1" t="s">
        <v>132</v>
      </c>
      <c r="F5" s="1" t="s">
        <v>344</v>
      </c>
      <c r="G5" s="1" t="s">
        <v>114</v>
      </c>
      <c r="H5" s="9"/>
      <c r="I5" s="55" t="s">
        <v>345</v>
      </c>
    </row>
    <row r="6" spans="1:11" s="1" customFormat="1" ht="30">
      <c r="A6" s="1">
        <v>4</v>
      </c>
      <c r="B6" s="4">
        <f t="shared" si="0"/>
        <v>323</v>
      </c>
      <c r="C6" s="4" t="str">
        <f t="shared" si="1"/>
        <v>0143</v>
      </c>
      <c r="E6" s="1" t="s">
        <v>132</v>
      </c>
      <c r="F6" s="1" t="s">
        <v>346</v>
      </c>
      <c r="G6" s="1" t="s">
        <v>114</v>
      </c>
      <c r="H6" s="9"/>
      <c r="I6" s="55" t="s">
        <v>347</v>
      </c>
    </row>
    <row r="7" spans="1:11" s="22" customFormat="1" ht="90">
      <c r="A7" s="22" t="s">
        <v>117</v>
      </c>
      <c r="B7" s="23">
        <f t="shared" si="0"/>
        <v>324</v>
      </c>
      <c r="C7" s="23" t="str">
        <f t="shared" si="1"/>
        <v>0144</v>
      </c>
      <c r="E7" s="22" t="s">
        <v>132</v>
      </c>
      <c r="F7" s="22" t="s">
        <v>218</v>
      </c>
      <c r="G7" s="22" t="s">
        <v>114</v>
      </c>
      <c r="H7" s="24"/>
      <c r="I7" s="25" t="s">
        <v>348</v>
      </c>
    </row>
    <row r="8" spans="1:11" s="22" customFormat="1">
      <c r="A8" s="22">
        <v>6</v>
      </c>
      <c r="B8" s="23">
        <f t="shared" si="0"/>
        <v>325</v>
      </c>
      <c r="C8" s="23" t="str">
        <f t="shared" si="1"/>
        <v>0145</v>
      </c>
      <c r="F8" s="1"/>
      <c r="G8" s="1"/>
      <c r="H8" s="24"/>
      <c r="I8" s="24"/>
    </row>
    <row r="9" spans="1:11" s="22" customFormat="1">
      <c r="A9" s="22" t="s">
        <v>119</v>
      </c>
      <c r="B9" s="23">
        <f t="shared" ref="B9:B18" si="2">$B$2+A9-1</f>
        <v>326</v>
      </c>
      <c r="C9" s="23" t="str">
        <f t="shared" ref="C9:C18" si="3">DEC2HEX(B9,4)</f>
        <v>0146</v>
      </c>
      <c r="H9" s="24"/>
      <c r="I9" s="24"/>
    </row>
    <row r="10" spans="1:11" s="22" customFormat="1">
      <c r="A10" s="22" t="s">
        <v>120</v>
      </c>
      <c r="B10" s="23">
        <f t="shared" si="2"/>
        <v>327</v>
      </c>
      <c r="C10" s="23" t="str">
        <f t="shared" si="3"/>
        <v>0147</v>
      </c>
      <c r="H10" s="24"/>
      <c r="I10" s="24"/>
    </row>
    <row r="11" spans="1:11" s="22" customFormat="1">
      <c r="A11" s="22" t="s">
        <v>121</v>
      </c>
      <c r="B11" s="23">
        <f t="shared" si="2"/>
        <v>328</v>
      </c>
      <c r="C11" s="23" t="str">
        <f t="shared" si="3"/>
        <v>0148</v>
      </c>
      <c r="H11" s="24"/>
      <c r="I11" s="24"/>
    </row>
    <row r="12" spans="1:11" s="22" customFormat="1">
      <c r="A12" s="22" t="s">
        <v>91</v>
      </c>
      <c r="B12" s="23">
        <f t="shared" si="2"/>
        <v>329</v>
      </c>
      <c r="C12" s="23" t="str">
        <f t="shared" si="3"/>
        <v>0149</v>
      </c>
      <c r="H12" s="24"/>
      <c r="I12" s="24"/>
    </row>
    <row r="13" spans="1:11" s="22" customFormat="1">
      <c r="A13" s="22" t="s">
        <v>122</v>
      </c>
      <c r="B13" s="23">
        <f t="shared" si="2"/>
        <v>330</v>
      </c>
      <c r="C13" s="23" t="str">
        <f t="shared" si="3"/>
        <v>014A</v>
      </c>
      <c r="H13" s="24"/>
      <c r="I13" s="24"/>
    </row>
    <row r="14" spans="1:11" s="22" customFormat="1">
      <c r="A14" s="22" t="s">
        <v>124</v>
      </c>
      <c r="B14" s="23">
        <f t="shared" si="2"/>
        <v>331</v>
      </c>
      <c r="C14" s="23" t="str">
        <f t="shared" si="3"/>
        <v>014B</v>
      </c>
      <c r="H14" s="24"/>
      <c r="I14" s="24"/>
    </row>
    <row r="15" spans="1:11" s="22" customFormat="1">
      <c r="A15" s="22" t="s">
        <v>125</v>
      </c>
      <c r="B15" s="23">
        <f t="shared" si="2"/>
        <v>332</v>
      </c>
      <c r="C15" s="23" t="str">
        <f t="shared" si="3"/>
        <v>014C</v>
      </c>
      <c r="H15" s="24"/>
      <c r="I15" s="24"/>
    </row>
    <row r="16" spans="1:11" s="22" customFormat="1">
      <c r="A16" s="22" t="s">
        <v>126</v>
      </c>
      <c r="B16" s="23">
        <f t="shared" si="2"/>
        <v>333</v>
      </c>
      <c r="C16" s="23" t="str">
        <f t="shared" si="3"/>
        <v>014D</v>
      </c>
      <c r="H16" s="24"/>
      <c r="I16" s="24"/>
    </row>
    <row r="17" spans="1:9" s="22" customFormat="1">
      <c r="A17" s="22" t="s">
        <v>127</v>
      </c>
      <c r="B17" s="23">
        <f t="shared" si="2"/>
        <v>334</v>
      </c>
      <c r="C17" s="23" t="str">
        <f t="shared" si="3"/>
        <v>014E</v>
      </c>
      <c r="H17" s="24"/>
      <c r="I17" s="24"/>
    </row>
    <row r="18" spans="1:9" s="22" customFormat="1">
      <c r="A18" s="22" t="s">
        <v>128</v>
      </c>
      <c r="B18" s="23">
        <f t="shared" si="2"/>
        <v>335</v>
      </c>
      <c r="C18" s="23" t="str">
        <f t="shared" si="3"/>
        <v>014F</v>
      </c>
      <c r="H18" s="24"/>
      <c r="I18" s="24"/>
    </row>
    <row r="19" spans="1:9" s="22" customFormat="1">
      <c r="B19" s="23"/>
      <c r="C19" s="23"/>
      <c r="H19" s="24"/>
      <c r="I19" s="24"/>
    </row>
    <row r="20" spans="1:9" s="22" customFormat="1">
      <c r="B20" s="23"/>
      <c r="C20" s="23"/>
      <c r="H20" s="24"/>
      <c r="I20" s="24"/>
    </row>
    <row r="21" spans="1:9" s="22" customFormat="1">
      <c r="B21" s="23"/>
      <c r="C21" s="23"/>
      <c r="H21" s="24"/>
      <c r="I21" s="24"/>
    </row>
    <row r="22" spans="1:9" s="22" customFormat="1">
      <c r="B22" s="23"/>
      <c r="C22" s="23"/>
      <c r="H22" s="24"/>
      <c r="I22" s="24"/>
    </row>
    <row r="23" spans="1:9" s="22" customFormat="1">
      <c r="B23" s="23"/>
      <c r="C23" s="23"/>
      <c r="H23" s="24"/>
      <c r="I23" s="24"/>
    </row>
    <row r="24" spans="1:9" s="22" customFormat="1">
      <c r="B24" s="23"/>
      <c r="C24" s="23"/>
      <c r="H24" s="24"/>
      <c r="I24" s="2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M66"/>
  <sheetViews>
    <sheetView workbookViewId="0">
      <selection activeCell="K13" sqref="K13"/>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6" width="25.28515625" customWidth="1"/>
    <col min="7" max="7" width="20.85546875" customWidth="1"/>
    <col min="8" max="8" width="5.5703125" style="23" customWidth="1"/>
    <col min="9" max="9" width="19.5703125" customWidth="1"/>
    <col min="10" max="10" width="7.5703125" customWidth="1"/>
    <col min="11" max="11" width="20.8554687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s="22" customFormat="1">
      <c r="B2" s="22">
        <f>HEX2DEC(C2)</f>
        <v>336</v>
      </c>
      <c r="C2" s="22" t="s">
        <v>349</v>
      </c>
      <c r="F2" s="22" t="s">
        <v>350</v>
      </c>
      <c r="I2" s="24"/>
    </row>
    <row r="3" spans="1:11" s="22" customFormat="1" ht="105">
      <c r="A3" s="22">
        <v>1</v>
      </c>
      <c r="B3" s="23">
        <f>$B$2+A3-1</f>
        <v>336</v>
      </c>
      <c r="C3" s="23" t="str">
        <f>DEC2HEX(B3,4)</f>
        <v>0150</v>
      </c>
      <c r="E3" t="s">
        <v>132</v>
      </c>
      <c r="F3" s="22" t="s">
        <v>351</v>
      </c>
      <c r="G3" s="22" t="s">
        <v>114</v>
      </c>
      <c r="I3" s="25" t="s">
        <v>352</v>
      </c>
    </row>
    <row r="4" spans="1:11" s="22" customFormat="1">
      <c r="A4" s="22">
        <v>2</v>
      </c>
      <c r="B4" s="23">
        <f t="shared" ref="B4:B25" si="0">$B$2+A4-1</f>
        <v>337</v>
      </c>
      <c r="C4" s="23" t="str">
        <f t="shared" ref="C4:C25" si="1">DEC2HEX(B4,4)</f>
        <v>0151</v>
      </c>
      <c r="E4" t="s">
        <v>132</v>
      </c>
      <c r="F4" s="1"/>
      <c r="G4" s="1"/>
      <c r="H4" s="1"/>
      <c r="I4" s="9"/>
    </row>
    <row r="5" spans="1:11" s="22" customFormat="1">
      <c r="A5" s="22">
        <v>3</v>
      </c>
      <c r="B5" s="23">
        <f t="shared" si="0"/>
        <v>338</v>
      </c>
      <c r="C5" s="23" t="str">
        <f t="shared" si="1"/>
        <v>0152</v>
      </c>
      <c r="E5" t="s">
        <v>132</v>
      </c>
      <c r="F5" s="22" t="s">
        <v>353</v>
      </c>
      <c r="G5" s="22" t="s">
        <v>231</v>
      </c>
      <c r="H5" s="22" t="s">
        <v>354</v>
      </c>
      <c r="I5" s="24"/>
    </row>
    <row r="6" spans="1:11" s="22" customFormat="1">
      <c r="A6" s="22">
        <v>4</v>
      </c>
      <c r="B6" s="23">
        <f t="shared" si="0"/>
        <v>339</v>
      </c>
      <c r="C6" s="23" t="str">
        <f t="shared" si="1"/>
        <v>0153</v>
      </c>
      <c r="E6" t="s">
        <v>132</v>
      </c>
      <c r="I6" s="24"/>
    </row>
    <row r="7" spans="1:11" s="1" customFormat="1">
      <c r="A7" s="1">
        <v>5</v>
      </c>
      <c r="B7" s="4">
        <f t="shared" si="0"/>
        <v>340</v>
      </c>
      <c r="C7" s="4" t="str">
        <f t="shared" si="1"/>
        <v>0154</v>
      </c>
      <c r="E7" s="3" t="s">
        <v>132</v>
      </c>
      <c r="F7" s="1" t="s">
        <v>355</v>
      </c>
      <c r="G7" s="1" t="s">
        <v>231</v>
      </c>
      <c r="H7" s="1" t="s">
        <v>232</v>
      </c>
      <c r="I7" s="9"/>
    </row>
    <row r="8" spans="1:11" s="22" customFormat="1">
      <c r="A8" s="22">
        <v>6</v>
      </c>
      <c r="B8" s="23">
        <f t="shared" si="0"/>
        <v>341</v>
      </c>
      <c r="C8" s="23" t="str">
        <f t="shared" si="1"/>
        <v>0155</v>
      </c>
      <c r="E8" t="s">
        <v>132</v>
      </c>
      <c r="F8" s="22" t="s">
        <v>279</v>
      </c>
      <c r="G8" s="22" t="s">
        <v>231</v>
      </c>
      <c r="H8" s="22" t="s">
        <v>232</v>
      </c>
      <c r="I8" s="24"/>
    </row>
    <row r="9" spans="1:11" s="22" customFormat="1">
      <c r="A9" s="22">
        <v>7</v>
      </c>
      <c r="B9" s="23">
        <f t="shared" si="0"/>
        <v>342</v>
      </c>
      <c r="C9" s="23" t="str">
        <f t="shared" si="1"/>
        <v>0156</v>
      </c>
      <c r="E9" t="s">
        <v>132</v>
      </c>
      <c r="F9" s="1" t="s">
        <v>356</v>
      </c>
      <c r="G9" s="1" t="s">
        <v>231</v>
      </c>
      <c r="H9" s="1" t="s">
        <v>282</v>
      </c>
      <c r="I9" s="24"/>
    </row>
    <row r="10" spans="1:11" s="22" customFormat="1">
      <c r="A10" s="22">
        <v>8</v>
      </c>
      <c r="B10" s="23">
        <f t="shared" si="0"/>
        <v>343</v>
      </c>
      <c r="C10" s="23" t="str">
        <f t="shared" si="1"/>
        <v>0157</v>
      </c>
      <c r="E10" t="s">
        <v>132</v>
      </c>
      <c r="F10" s="22" t="s">
        <v>357</v>
      </c>
      <c r="G10" s="22" t="s">
        <v>231</v>
      </c>
      <c r="H10" s="1" t="s">
        <v>282</v>
      </c>
      <c r="I10" s="24"/>
    </row>
    <row r="11" spans="1:11" s="22" customFormat="1">
      <c r="A11" s="22">
        <v>9</v>
      </c>
      <c r="B11" s="23">
        <f t="shared" si="0"/>
        <v>344</v>
      </c>
      <c r="C11" s="23" t="str">
        <f t="shared" si="1"/>
        <v>0158</v>
      </c>
      <c r="E11" t="s">
        <v>132</v>
      </c>
      <c r="F11" s="22" t="s">
        <v>358</v>
      </c>
      <c r="G11" s="22" t="s">
        <v>231</v>
      </c>
      <c r="H11" s="22" t="s">
        <v>232</v>
      </c>
    </row>
    <row r="12" spans="1:11" s="22" customFormat="1">
      <c r="A12" s="22">
        <v>10</v>
      </c>
      <c r="B12" s="23">
        <f t="shared" si="0"/>
        <v>345</v>
      </c>
      <c r="C12" s="23" t="str">
        <f t="shared" si="1"/>
        <v>0159</v>
      </c>
      <c r="E12" t="s">
        <v>132</v>
      </c>
      <c r="F12" s="22" t="s">
        <v>359</v>
      </c>
      <c r="G12" s="22" t="s">
        <v>231</v>
      </c>
      <c r="H12" s="22" t="s">
        <v>232</v>
      </c>
      <c r="I12" s="24"/>
    </row>
    <row r="13" spans="1:11" s="22" customFormat="1">
      <c r="A13" s="22">
        <v>11</v>
      </c>
      <c r="B13" s="23">
        <f t="shared" si="0"/>
        <v>346</v>
      </c>
      <c r="C13" s="23" t="str">
        <f t="shared" si="1"/>
        <v>015A</v>
      </c>
      <c r="E13" s="3"/>
      <c r="F13" s="1"/>
      <c r="G13" s="1"/>
      <c r="H13" s="1"/>
      <c r="I13" s="24"/>
    </row>
    <row r="14" spans="1:11" s="22" customFormat="1">
      <c r="A14" s="22">
        <v>12</v>
      </c>
      <c r="B14" s="23">
        <f t="shared" si="0"/>
        <v>347</v>
      </c>
      <c r="C14" s="23" t="str">
        <f t="shared" si="1"/>
        <v>015B</v>
      </c>
      <c r="D14" s="1"/>
      <c r="E14" s="3"/>
      <c r="F14" s="1"/>
      <c r="G14" s="1"/>
      <c r="H14" s="1"/>
      <c r="I14" s="9"/>
      <c r="J14" s="1"/>
    </row>
    <row r="15" spans="1:11" s="22" customFormat="1">
      <c r="A15" s="22">
        <v>13</v>
      </c>
      <c r="B15" s="23">
        <f t="shared" si="0"/>
        <v>348</v>
      </c>
      <c r="C15" s="23" t="str">
        <f t="shared" si="1"/>
        <v>015C</v>
      </c>
      <c r="D15" s="1"/>
      <c r="E15" s="3" t="s">
        <v>132</v>
      </c>
      <c r="F15" s="1" t="s">
        <v>360</v>
      </c>
      <c r="G15" s="1" t="s">
        <v>231</v>
      </c>
      <c r="H15" s="1" t="s">
        <v>232</v>
      </c>
      <c r="I15" s="1"/>
      <c r="J15" s="1"/>
    </row>
    <row r="16" spans="1:11" s="22" customFormat="1">
      <c r="A16" s="22">
        <v>14</v>
      </c>
      <c r="B16" s="23">
        <f t="shared" si="0"/>
        <v>349</v>
      </c>
      <c r="C16" s="23" t="str">
        <f t="shared" si="1"/>
        <v>015D</v>
      </c>
      <c r="D16" s="1"/>
      <c r="E16" s="3" t="s">
        <v>132</v>
      </c>
      <c r="F16" s="1" t="s">
        <v>361</v>
      </c>
      <c r="G16" s="1" t="s">
        <v>114</v>
      </c>
      <c r="H16" s="1" t="s">
        <v>362</v>
      </c>
      <c r="I16" s="1"/>
      <c r="J16" s="1"/>
    </row>
    <row r="17" spans="1:13" s="22" customFormat="1">
      <c r="A17" s="22">
        <v>15</v>
      </c>
      <c r="B17" s="23">
        <f t="shared" si="0"/>
        <v>350</v>
      </c>
      <c r="C17" s="23" t="str">
        <f t="shared" si="1"/>
        <v>015E</v>
      </c>
      <c r="D17" s="1"/>
      <c r="E17" s="3" t="s">
        <v>132</v>
      </c>
      <c r="F17" s="1" t="s">
        <v>363</v>
      </c>
      <c r="G17" s="1" t="s">
        <v>114</v>
      </c>
      <c r="H17" s="1" t="s">
        <v>364</v>
      </c>
      <c r="I17" s="1"/>
      <c r="J17" s="1"/>
    </row>
    <row r="18" spans="1:13" s="22" customFormat="1">
      <c r="A18" s="22">
        <v>16</v>
      </c>
      <c r="B18" s="23">
        <f t="shared" si="0"/>
        <v>351</v>
      </c>
      <c r="C18" s="23" t="str">
        <f t="shared" si="1"/>
        <v>015F</v>
      </c>
      <c r="D18" s="1"/>
      <c r="E18" s="1"/>
      <c r="F18" s="1"/>
      <c r="G18" s="1"/>
      <c r="H18" s="1"/>
      <c r="I18" s="1"/>
      <c r="J18" s="1"/>
    </row>
    <row r="19" spans="1:13" s="22" customFormat="1">
      <c r="A19" s="22">
        <v>17</v>
      </c>
      <c r="B19" s="23">
        <f t="shared" si="0"/>
        <v>352</v>
      </c>
      <c r="C19" s="23" t="str">
        <f t="shared" si="1"/>
        <v>0160</v>
      </c>
      <c r="D19" s="1"/>
      <c r="E19" s="1"/>
      <c r="F19" s="1"/>
      <c r="G19" s="1"/>
      <c r="H19" s="1"/>
      <c r="I19" s="1"/>
      <c r="J19" s="1"/>
    </row>
    <row r="20" spans="1:13" s="22" customFormat="1">
      <c r="A20" s="22">
        <v>18</v>
      </c>
      <c r="B20" s="23">
        <f t="shared" si="0"/>
        <v>353</v>
      </c>
      <c r="C20" s="23" t="str">
        <f t="shared" si="1"/>
        <v>0161</v>
      </c>
      <c r="D20" s="1"/>
      <c r="E20" s="1"/>
      <c r="F20" s="1"/>
      <c r="G20" s="1"/>
      <c r="H20" s="1"/>
      <c r="I20" s="1"/>
      <c r="J20" s="1"/>
    </row>
    <row r="21" spans="1:13" s="22" customFormat="1">
      <c r="A21" s="22">
        <v>19</v>
      </c>
      <c r="B21" s="23">
        <f t="shared" si="0"/>
        <v>354</v>
      </c>
      <c r="C21" s="23" t="str">
        <f t="shared" si="1"/>
        <v>0162</v>
      </c>
      <c r="D21" s="1"/>
      <c r="E21" s="1"/>
      <c r="F21" s="1"/>
      <c r="G21" s="1"/>
      <c r="H21" s="1"/>
      <c r="I21" s="1"/>
      <c r="J21" s="1"/>
    </row>
    <row r="22" spans="1:13" s="22" customFormat="1">
      <c r="A22" s="22">
        <v>20</v>
      </c>
      <c r="B22" s="23">
        <f t="shared" si="0"/>
        <v>355</v>
      </c>
      <c r="C22" s="23" t="str">
        <f t="shared" si="1"/>
        <v>0163</v>
      </c>
      <c r="D22" s="1"/>
      <c r="E22" s="1"/>
      <c r="F22" s="1"/>
      <c r="G22" s="1"/>
      <c r="H22" s="1"/>
      <c r="I22" s="1"/>
      <c r="J22" s="1"/>
      <c r="L22" s="24"/>
      <c r="M22" s="24"/>
    </row>
    <row r="23" spans="1:13" s="1" customFormat="1">
      <c r="A23" s="1">
        <v>21</v>
      </c>
      <c r="B23" s="4">
        <f t="shared" si="0"/>
        <v>356</v>
      </c>
      <c r="C23" s="4" t="str">
        <f t="shared" si="1"/>
        <v>0164</v>
      </c>
      <c r="E23" s="3" t="s">
        <v>132</v>
      </c>
      <c r="F23" s="1" t="s">
        <v>365</v>
      </c>
      <c r="G23" s="1" t="s">
        <v>231</v>
      </c>
      <c r="H23" s="4"/>
      <c r="L23" s="9"/>
      <c r="M23" s="9"/>
    </row>
    <row r="24" spans="1:13" s="22" customFormat="1">
      <c r="A24" s="22">
        <v>22</v>
      </c>
      <c r="B24" s="23">
        <f t="shared" si="0"/>
        <v>357</v>
      </c>
      <c r="C24" s="23" t="str">
        <f t="shared" si="1"/>
        <v>0165</v>
      </c>
      <c r="D24" s="1"/>
      <c r="E24" s="3" t="s">
        <v>132</v>
      </c>
      <c r="F24" s="1" t="s">
        <v>284</v>
      </c>
      <c r="G24" s="22" t="s">
        <v>231</v>
      </c>
      <c r="H24" s="1"/>
      <c r="I24" s="1"/>
      <c r="J24" s="1"/>
      <c r="L24" s="24"/>
      <c r="M24" s="24"/>
    </row>
    <row r="25" spans="1:13" s="22" customFormat="1">
      <c r="A25" s="22">
        <v>23</v>
      </c>
      <c r="B25" s="23">
        <f t="shared" si="0"/>
        <v>358</v>
      </c>
      <c r="C25" s="23" t="str">
        <f t="shared" si="1"/>
        <v>0166</v>
      </c>
      <c r="D25" s="1"/>
      <c r="E25" s="3" t="s">
        <v>132</v>
      </c>
      <c r="F25" s="1" t="s">
        <v>356</v>
      </c>
      <c r="G25" s="1" t="s">
        <v>231</v>
      </c>
      <c r="H25" s="1" t="s">
        <v>282</v>
      </c>
      <c r="I25" s="1"/>
      <c r="J25" s="1"/>
      <c r="L25" s="24"/>
      <c r="M25" s="24"/>
    </row>
    <row r="26" spans="1:13" s="22" customFormat="1">
      <c r="A26" s="22">
        <v>24</v>
      </c>
      <c r="B26" s="23">
        <f t="shared" ref="B26:B34" si="2">$B$2+A26-1</f>
        <v>359</v>
      </c>
      <c r="C26" s="23" t="str">
        <f t="shared" ref="C26:C34" si="3">DEC2HEX(B26,4)</f>
        <v>0167</v>
      </c>
      <c r="D26" s="1"/>
      <c r="E26" s="3" t="s">
        <v>132</v>
      </c>
      <c r="F26" s="1" t="s">
        <v>366</v>
      </c>
      <c r="G26" s="1" t="s">
        <v>231</v>
      </c>
      <c r="H26" s="1" t="s">
        <v>282</v>
      </c>
      <c r="I26" s="1"/>
      <c r="J26" s="1"/>
      <c r="L26" s="25"/>
      <c r="M26" s="25"/>
    </row>
    <row r="27" spans="1:13">
      <c r="A27" s="22">
        <v>25</v>
      </c>
      <c r="B27" s="23">
        <f t="shared" si="2"/>
        <v>360</v>
      </c>
      <c r="C27" s="23" t="str">
        <f t="shared" si="3"/>
        <v>0168</v>
      </c>
      <c r="D27" s="3"/>
      <c r="E27" s="3" t="s">
        <v>132</v>
      </c>
      <c r="F27" s="1" t="s">
        <v>367</v>
      </c>
      <c r="G27" s="1" t="s">
        <v>231</v>
      </c>
      <c r="H27" s="1" t="s">
        <v>232</v>
      </c>
      <c r="I27" s="3"/>
      <c r="J27" s="3"/>
      <c r="L27" s="24"/>
      <c r="M27" s="24"/>
    </row>
    <row r="28" spans="1:13">
      <c r="A28" s="22">
        <v>26</v>
      </c>
      <c r="B28" s="23">
        <f t="shared" si="2"/>
        <v>361</v>
      </c>
      <c r="C28" s="23" t="str">
        <f t="shared" si="3"/>
        <v>0169</v>
      </c>
      <c r="D28" s="3"/>
      <c r="E28" s="3" t="s">
        <v>132</v>
      </c>
      <c r="F28" s="1" t="s">
        <v>368</v>
      </c>
      <c r="G28" s="1" t="s">
        <v>231</v>
      </c>
      <c r="H28" s="1" t="s">
        <v>232</v>
      </c>
      <c r="I28" s="3"/>
      <c r="J28" s="3"/>
      <c r="L28" s="24"/>
      <c r="M28" s="24"/>
    </row>
    <row r="29" spans="1:13">
      <c r="A29" s="22">
        <v>27</v>
      </c>
      <c r="B29" s="23">
        <f t="shared" si="2"/>
        <v>362</v>
      </c>
      <c r="C29" s="23" t="str">
        <f t="shared" si="3"/>
        <v>016A</v>
      </c>
      <c r="D29" s="3"/>
      <c r="E29" s="3"/>
      <c r="F29" s="1"/>
      <c r="G29" s="1"/>
      <c r="H29" s="1"/>
      <c r="I29" s="3"/>
      <c r="J29" s="3"/>
      <c r="L29" s="24"/>
      <c r="M29" s="24"/>
    </row>
    <row r="30" spans="1:13">
      <c r="A30" s="22">
        <v>28</v>
      </c>
      <c r="B30" s="23">
        <f t="shared" si="2"/>
        <v>363</v>
      </c>
      <c r="C30" s="23" t="str">
        <f t="shared" si="3"/>
        <v>016B</v>
      </c>
      <c r="D30" s="3"/>
      <c r="E30" s="3"/>
      <c r="F30" s="1"/>
      <c r="G30" s="1"/>
      <c r="H30" s="1"/>
      <c r="I30" s="3"/>
      <c r="J30" s="3"/>
      <c r="L30" s="24"/>
      <c r="M30" s="24"/>
    </row>
    <row r="31" spans="1:13">
      <c r="A31" s="22">
        <v>29</v>
      </c>
      <c r="B31" s="23">
        <f t="shared" si="2"/>
        <v>364</v>
      </c>
      <c r="C31" s="23" t="str">
        <f t="shared" si="3"/>
        <v>016C</v>
      </c>
      <c r="D31" s="3"/>
      <c r="E31" s="3" t="s">
        <v>132</v>
      </c>
      <c r="F31" s="1" t="s">
        <v>369</v>
      </c>
      <c r="G31" s="1" t="s">
        <v>231</v>
      </c>
      <c r="H31" s="1" t="s">
        <v>232</v>
      </c>
      <c r="I31" s="3"/>
      <c r="J31" s="3"/>
      <c r="K31" s="22"/>
      <c r="L31" s="24"/>
      <c r="M31" s="24"/>
    </row>
    <row r="32" spans="1:13">
      <c r="A32" s="22">
        <v>30</v>
      </c>
      <c r="B32" s="23">
        <f t="shared" si="2"/>
        <v>365</v>
      </c>
      <c r="C32" s="23" t="str">
        <f t="shared" si="3"/>
        <v>016D</v>
      </c>
      <c r="D32" s="3"/>
      <c r="E32" s="3" t="s">
        <v>132</v>
      </c>
      <c r="F32" s="1" t="s">
        <v>370</v>
      </c>
      <c r="G32" s="1" t="s">
        <v>114</v>
      </c>
      <c r="H32" s="1" t="s">
        <v>362</v>
      </c>
      <c r="I32" s="3"/>
      <c r="J32" s="3"/>
      <c r="K32" s="22"/>
      <c r="L32" s="24"/>
      <c r="M32" s="24"/>
    </row>
    <row r="33" spans="1:13">
      <c r="A33" s="22">
        <v>31</v>
      </c>
      <c r="B33" s="23">
        <f t="shared" si="2"/>
        <v>366</v>
      </c>
      <c r="C33" s="23" t="str">
        <f t="shared" si="3"/>
        <v>016E</v>
      </c>
      <c r="D33" s="3"/>
      <c r="E33" s="3" t="s">
        <v>132</v>
      </c>
      <c r="F33" s="1" t="s">
        <v>371</v>
      </c>
      <c r="G33" s="1" t="s">
        <v>114</v>
      </c>
      <c r="H33" s="1" t="s">
        <v>364</v>
      </c>
      <c r="I33" s="3"/>
      <c r="J33" s="3"/>
      <c r="L33" s="24"/>
      <c r="M33" s="24"/>
    </row>
    <row r="34" spans="1:13">
      <c r="A34" s="22">
        <v>32</v>
      </c>
      <c r="B34" s="23">
        <f t="shared" si="2"/>
        <v>367</v>
      </c>
      <c r="C34" s="23" t="str">
        <f t="shared" si="3"/>
        <v>016F</v>
      </c>
      <c r="D34" s="3"/>
      <c r="E34" s="3"/>
      <c r="F34" s="3"/>
      <c r="G34" s="3"/>
      <c r="H34" s="4"/>
      <c r="I34" s="3"/>
      <c r="J34" s="3"/>
      <c r="K34" s="22"/>
    </row>
    <row r="35" spans="1:13">
      <c r="A35" s="22">
        <v>33</v>
      </c>
      <c r="B35" s="23">
        <f t="shared" ref="B35:B51" si="4">$B$2+A35-1</f>
        <v>368</v>
      </c>
      <c r="C35" s="23" t="str">
        <f t="shared" ref="C35:C51" si="5">DEC2HEX(B35,4)</f>
        <v>0170</v>
      </c>
      <c r="D35" s="3"/>
      <c r="E35" s="3"/>
      <c r="F35" s="3"/>
      <c r="G35" s="3"/>
      <c r="H35" s="4"/>
      <c r="I35" s="3"/>
      <c r="J35" s="3"/>
    </row>
    <row r="36" spans="1:13">
      <c r="A36" s="22">
        <v>34</v>
      </c>
      <c r="B36" s="23">
        <f t="shared" si="4"/>
        <v>369</v>
      </c>
      <c r="C36" s="23" t="str">
        <f t="shared" si="5"/>
        <v>0171</v>
      </c>
      <c r="D36" s="3"/>
      <c r="E36" s="3"/>
      <c r="F36" s="3"/>
      <c r="G36" s="3"/>
      <c r="H36" s="4"/>
      <c r="I36" s="3"/>
      <c r="J36" s="3"/>
    </row>
    <row r="37" spans="1:13">
      <c r="A37" s="22">
        <v>35</v>
      </c>
      <c r="B37" s="23">
        <f t="shared" si="4"/>
        <v>370</v>
      </c>
      <c r="C37" s="23" t="str">
        <f t="shared" si="5"/>
        <v>0172</v>
      </c>
      <c r="D37" s="3"/>
      <c r="E37" s="3"/>
      <c r="F37" s="3"/>
      <c r="G37" s="3"/>
      <c r="H37" s="4"/>
      <c r="I37" s="3"/>
      <c r="J37" s="3"/>
    </row>
    <row r="38" spans="1:13">
      <c r="A38" s="22">
        <v>36</v>
      </c>
      <c r="B38" s="23">
        <f t="shared" si="4"/>
        <v>371</v>
      </c>
      <c r="C38" s="23" t="str">
        <f t="shared" si="5"/>
        <v>0173</v>
      </c>
      <c r="E38" s="3"/>
      <c r="F38" s="3"/>
      <c r="G38" s="3"/>
      <c r="H38" s="4"/>
    </row>
    <row r="39" spans="1:13">
      <c r="A39" s="22">
        <v>37</v>
      </c>
      <c r="B39" s="23">
        <f t="shared" si="4"/>
        <v>372</v>
      </c>
      <c r="C39" s="23" t="str">
        <f t="shared" si="5"/>
        <v>0174</v>
      </c>
      <c r="E39" s="3"/>
      <c r="F39" s="3"/>
      <c r="G39" s="3"/>
      <c r="H39" s="4"/>
    </row>
    <row r="40" spans="1:13">
      <c r="A40" s="22">
        <v>38</v>
      </c>
      <c r="B40" s="23">
        <f t="shared" si="4"/>
        <v>373</v>
      </c>
      <c r="C40" s="23" t="str">
        <f t="shared" si="5"/>
        <v>0175</v>
      </c>
      <c r="E40" s="3"/>
      <c r="F40" s="1"/>
      <c r="G40" s="1"/>
      <c r="H40" s="1"/>
      <c r="I40" s="21"/>
    </row>
    <row r="41" spans="1:13" ht="90">
      <c r="A41" s="22">
        <v>39</v>
      </c>
      <c r="B41" s="23">
        <f t="shared" si="4"/>
        <v>374</v>
      </c>
      <c r="C41" s="23" t="str">
        <f t="shared" si="5"/>
        <v>0176</v>
      </c>
      <c r="E41" s="3" t="s">
        <v>132</v>
      </c>
      <c r="F41" s="1" t="s">
        <v>372</v>
      </c>
      <c r="G41" s="1" t="s">
        <v>114</v>
      </c>
      <c r="H41" s="1"/>
      <c r="I41" s="29" t="s">
        <v>373</v>
      </c>
    </row>
    <row r="42" spans="1:13">
      <c r="A42" s="22">
        <v>40</v>
      </c>
      <c r="B42" s="23">
        <f t="shared" si="4"/>
        <v>375</v>
      </c>
      <c r="C42" s="23" t="str">
        <f t="shared" si="5"/>
        <v>0177</v>
      </c>
      <c r="E42" s="3" t="s">
        <v>132</v>
      </c>
      <c r="F42" s="1" t="s">
        <v>374</v>
      </c>
      <c r="G42" s="1" t="s">
        <v>231</v>
      </c>
      <c r="H42" s="1" t="s">
        <v>232</v>
      </c>
    </row>
    <row r="43" spans="1:13">
      <c r="A43" s="22">
        <v>41</v>
      </c>
      <c r="B43" s="23">
        <f t="shared" si="4"/>
        <v>376</v>
      </c>
      <c r="C43" s="23" t="str">
        <f t="shared" si="5"/>
        <v>0178</v>
      </c>
      <c r="E43" s="3" t="s">
        <v>132</v>
      </c>
      <c r="F43" s="1" t="s">
        <v>375</v>
      </c>
      <c r="G43" s="1" t="s">
        <v>231</v>
      </c>
      <c r="H43" s="1" t="s">
        <v>232</v>
      </c>
    </row>
    <row r="44" spans="1:13">
      <c r="A44" s="22">
        <v>42</v>
      </c>
      <c r="B44" s="23">
        <f t="shared" si="4"/>
        <v>377</v>
      </c>
      <c r="C44" s="23" t="str">
        <f t="shared" si="5"/>
        <v>0179</v>
      </c>
      <c r="E44" s="3" t="s">
        <v>132</v>
      </c>
      <c r="F44" s="1" t="s">
        <v>376</v>
      </c>
      <c r="G44" s="1" t="s">
        <v>231</v>
      </c>
      <c r="H44" s="1" t="s">
        <v>282</v>
      </c>
    </row>
    <row r="45" spans="1:13">
      <c r="A45" s="22">
        <v>43</v>
      </c>
      <c r="B45" s="23">
        <f t="shared" si="4"/>
        <v>378</v>
      </c>
      <c r="C45" s="23" t="str">
        <f t="shared" si="5"/>
        <v>017A</v>
      </c>
      <c r="E45" s="3" t="s">
        <v>132</v>
      </c>
      <c r="F45" s="1" t="s">
        <v>377</v>
      </c>
      <c r="G45" s="1" t="s">
        <v>231</v>
      </c>
      <c r="H45" s="1" t="s">
        <v>282</v>
      </c>
    </row>
    <row r="46" spans="1:13">
      <c r="A46" s="22">
        <v>44</v>
      </c>
      <c r="B46" s="23">
        <f t="shared" si="4"/>
        <v>379</v>
      </c>
      <c r="C46" s="23" t="str">
        <f t="shared" si="5"/>
        <v>017B</v>
      </c>
      <c r="E46" s="3" t="s">
        <v>132</v>
      </c>
      <c r="F46" s="1" t="s">
        <v>378</v>
      </c>
      <c r="G46" s="1" t="s">
        <v>114</v>
      </c>
      <c r="H46" s="1" t="s">
        <v>362</v>
      </c>
    </row>
    <row r="47" spans="1:13">
      <c r="A47" s="22">
        <v>45</v>
      </c>
      <c r="B47" s="23">
        <f t="shared" si="4"/>
        <v>380</v>
      </c>
      <c r="C47" s="23" t="str">
        <f t="shared" si="5"/>
        <v>017C</v>
      </c>
      <c r="E47" s="3" t="s">
        <v>132</v>
      </c>
      <c r="F47" s="1" t="s">
        <v>379</v>
      </c>
      <c r="G47" s="1" t="s">
        <v>114</v>
      </c>
      <c r="H47" s="1" t="s">
        <v>362</v>
      </c>
    </row>
    <row r="48" spans="1:13">
      <c r="A48" s="22">
        <v>46</v>
      </c>
      <c r="B48" s="23">
        <f t="shared" si="4"/>
        <v>381</v>
      </c>
      <c r="C48" s="23" t="str">
        <f t="shared" si="5"/>
        <v>017D</v>
      </c>
      <c r="E48" s="3"/>
      <c r="F48" s="1"/>
      <c r="G48" s="1"/>
      <c r="H48" s="1"/>
    </row>
    <row r="49" spans="1:8">
      <c r="A49" s="22">
        <v>47</v>
      </c>
      <c r="B49" s="23">
        <f t="shared" si="4"/>
        <v>382</v>
      </c>
      <c r="C49" s="23" t="str">
        <f t="shared" si="5"/>
        <v>017E</v>
      </c>
      <c r="E49" s="3" t="s">
        <v>132</v>
      </c>
      <c r="F49" s="1" t="s">
        <v>380</v>
      </c>
      <c r="G49" s="1" t="s">
        <v>231</v>
      </c>
      <c r="H49" s="1" t="s">
        <v>232</v>
      </c>
    </row>
    <row r="50" spans="1:8">
      <c r="A50" s="22">
        <v>48</v>
      </c>
      <c r="B50" s="23">
        <f t="shared" si="4"/>
        <v>383</v>
      </c>
      <c r="C50" s="23" t="str">
        <f t="shared" si="5"/>
        <v>017F</v>
      </c>
      <c r="E50" s="3" t="s">
        <v>132</v>
      </c>
      <c r="F50" s="1" t="s">
        <v>381</v>
      </c>
      <c r="G50" s="1" t="s">
        <v>114</v>
      </c>
      <c r="H50" s="4" t="s">
        <v>362</v>
      </c>
    </row>
    <row r="51" spans="1:8">
      <c r="A51" s="22">
        <v>49</v>
      </c>
      <c r="B51" s="23">
        <f t="shared" si="4"/>
        <v>384</v>
      </c>
      <c r="C51" s="23" t="str">
        <f t="shared" si="5"/>
        <v>0180</v>
      </c>
      <c r="E51" s="3" t="s">
        <v>132</v>
      </c>
      <c r="F51" s="1" t="s">
        <v>382</v>
      </c>
      <c r="G51" s="1" t="s">
        <v>114</v>
      </c>
      <c r="H51" s="4" t="s">
        <v>362</v>
      </c>
    </row>
    <row r="52" spans="1:8">
      <c r="A52" s="22">
        <v>50</v>
      </c>
      <c r="B52" s="23">
        <f t="shared" ref="B52:B66" si="6">$B$2+A52-1</f>
        <v>385</v>
      </c>
      <c r="C52" s="23" t="str">
        <f t="shared" ref="C52:C66" si="7">DEC2HEX(B52,4)</f>
        <v>0181</v>
      </c>
      <c r="E52" s="3" t="s">
        <v>132</v>
      </c>
      <c r="F52" s="1" t="s">
        <v>383</v>
      </c>
      <c r="G52" s="1" t="s">
        <v>114</v>
      </c>
      <c r="H52" s="4" t="s">
        <v>384</v>
      </c>
    </row>
    <row r="53" spans="1:8">
      <c r="A53" s="22">
        <v>51</v>
      </c>
      <c r="B53" s="23">
        <f t="shared" si="6"/>
        <v>386</v>
      </c>
      <c r="C53" s="23" t="str">
        <f t="shared" si="7"/>
        <v>0182</v>
      </c>
      <c r="E53" s="3"/>
      <c r="F53" s="1"/>
      <c r="G53" s="1"/>
      <c r="H53" s="4"/>
    </row>
    <row r="54" spans="1:8">
      <c r="A54" s="22">
        <v>52</v>
      </c>
      <c r="B54" s="23">
        <f t="shared" si="6"/>
        <v>387</v>
      </c>
      <c r="C54" s="23" t="str">
        <f t="shared" si="7"/>
        <v>0183</v>
      </c>
      <c r="E54" s="3" t="s">
        <v>132</v>
      </c>
      <c r="F54" s="1" t="s">
        <v>385</v>
      </c>
      <c r="G54" s="1" t="s">
        <v>114</v>
      </c>
      <c r="H54" s="4" t="s">
        <v>362</v>
      </c>
    </row>
    <row r="55" spans="1:8">
      <c r="A55" s="22">
        <v>53</v>
      </c>
      <c r="B55" s="23">
        <f t="shared" si="6"/>
        <v>388</v>
      </c>
      <c r="C55" s="23" t="str">
        <f t="shared" si="7"/>
        <v>0184</v>
      </c>
      <c r="E55" s="3"/>
      <c r="F55" s="3"/>
      <c r="G55" s="3"/>
      <c r="H55" s="4"/>
    </row>
    <row r="56" spans="1:8">
      <c r="A56" s="22">
        <v>54</v>
      </c>
      <c r="B56" s="23">
        <f t="shared" si="6"/>
        <v>389</v>
      </c>
      <c r="C56" s="23" t="str">
        <f t="shared" si="7"/>
        <v>0185</v>
      </c>
    </row>
    <row r="57" spans="1:8">
      <c r="A57" s="22">
        <v>55</v>
      </c>
      <c r="B57" s="23">
        <f t="shared" si="6"/>
        <v>390</v>
      </c>
      <c r="C57" s="23" t="str">
        <f t="shared" si="7"/>
        <v>0186</v>
      </c>
    </row>
    <row r="58" spans="1:8">
      <c r="A58" s="22">
        <v>56</v>
      </c>
      <c r="B58" s="23">
        <f t="shared" si="6"/>
        <v>391</v>
      </c>
      <c r="C58" s="23" t="str">
        <f t="shared" si="7"/>
        <v>0187</v>
      </c>
    </row>
    <row r="59" spans="1:8">
      <c r="A59" s="22">
        <v>57</v>
      </c>
      <c r="B59" s="23">
        <f t="shared" si="6"/>
        <v>392</v>
      </c>
      <c r="C59" s="23" t="str">
        <f t="shared" si="7"/>
        <v>0188</v>
      </c>
    </row>
    <row r="60" spans="1:8">
      <c r="A60" s="22">
        <v>58</v>
      </c>
      <c r="B60" s="23">
        <f t="shared" si="6"/>
        <v>393</v>
      </c>
      <c r="C60" s="23" t="str">
        <f t="shared" si="7"/>
        <v>0189</v>
      </c>
    </row>
    <row r="61" spans="1:8">
      <c r="A61" s="22">
        <v>59</v>
      </c>
      <c r="B61" s="23">
        <f t="shared" si="6"/>
        <v>394</v>
      </c>
      <c r="C61" s="23" t="str">
        <f t="shared" si="7"/>
        <v>018A</v>
      </c>
    </row>
    <row r="62" spans="1:8">
      <c r="A62" s="22">
        <v>60</v>
      </c>
      <c r="B62" s="23">
        <f t="shared" si="6"/>
        <v>395</v>
      </c>
      <c r="C62" s="23" t="str">
        <f t="shared" si="7"/>
        <v>018B</v>
      </c>
    </row>
    <row r="63" spans="1:8">
      <c r="A63" s="22">
        <v>61</v>
      </c>
      <c r="B63" s="23">
        <f t="shared" si="6"/>
        <v>396</v>
      </c>
      <c r="C63" s="23" t="str">
        <f t="shared" si="7"/>
        <v>018C</v>
      </c>
    </row>
    <row r="64" spans="1:8">
      <c r="A64" s="22">
        <v>62</v>
      </c>
      <c r="B64" s="23">
        <f t="shared" si="6"/>
        <v>397</v>
      </c>
      <c r="C64" s="23" t="str">
        <f t="shared" si="7"/>
        <v>018D</v>
      </c>
    </row>
    <row r="65" spans="1:3">
      <c r="A65" s="22">
        <v>63</v>
      </c>
      <c r="B65" s="23">
        <f t="shared" si="6"/>
        <v>398</v>
      </c>
      <c r="C65" s="23" t="str">
        <f t="shared" si="7"/>
        <v>018E</v>
      </c>
    </row>
    <row r="66" spans="1:3">
      <c r="A66" s="22">
        <v>64</v>
      </c>
      <c r="B66" s="23">
        <f t="shared" si="6"/>
        <v>399</v>
      </c>
      <c r="C66" s="23" t="str">
        <f t="shared" si="7"/>
        <v>018F</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K34"/>
  <sheetViews>
    <sheetView workbookViewId="0">
      <selection activeCell="A4" sqref="A4:XFD4"/>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8.5703125" style="23" customWidth="1"/>
    <col min="8" max="8" width="7.140625" customWidth="1"/>
    <col min="9" max="9" width="19.710937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400</v>
      </c>
      <c r="C2" s="22" t="s">
        <v>386</v>
      </c>
      <c r="D2" s="22"/>
      <c r="E2" s="22"/>
      <c r="F2" s="22" t="s">
        <v>387</v>
      </c>
      <c r="G2" s="22"/>
    </row>
    <row r="3" spans="1:11">
      <c r="A3" s="22">
        <v>1</v>
      </c>
      <c r="B3" s="23">
        <f>$B$2+A3-1</f>
        <v>400</v>
      </c>
      <c r="C3" s="23" t="str">
        <f>DEC2HEX(B3,4)</f>
        <v>0190</v>
      </c>
      <c r="D3" s="22"/>
      <c r="E3" s="22" t="s">
        <v>132</v>
      </c>
      <c r="F3" s="22" t="s">
        <v>388</v>
      </c>
      <c r="G3" s="22" t="s">
        <v>114</v>
      </c>
      <c r="I3" t="s">
        <v>123</v>
      </c>
    </row>
    <row r="4" spans="1:11" ht="60">
      <c r="A4" s="22">
        <v>2</v>
      </c>
      <c r="B4" s="23">
        <f t="shared" ref="B4:B15" si="0">$B$2+A4-1</f>
        <v>401</v>
      </c>
      <c r="C4" s="23" t="str">
        <f t="shared" ref="C4:C15" si="1">DEC2HEX(B4,4)</f>
        <v>0191</v>
      </c>
      <c r="D4" s="22"/>
      <c r="E4" s="22" t="s">
        <v>132</v>
      </c>
      <c r="F4" s="22" t="s">
        <v>389</v>
      </c>
      <c r="G4" s="22" t="s">
        <v>114</v>
      </c>
      <c r="I4" s="29" t="s">
        <v>390</v>
      </c>
    </row>
    <row r="5" spans="1:11">
      <c r="A5" s="22">
        <v>3</v>
      </c>
      <c r="B5" s="23">
        <f t="shared" si="0"/>
        <v>402</v>
      </c>
      <c r="C5" s="23" t="str">
        <f t="shared" si="1"/>
        <v>0192</v>
      </c>
      <c r="D5" s="22"/>
      <c r="E5" s="22" t="s">
        <v>132</v>
      </c>
      <c r="F5" s="23" t="s">
        <v>391</v>
      </c>
      <c r="G5" s="22" t="s">
        <v>114</v>
      </c>
    </row>
    <row r="6" spans="1:11">
      <c r="A6" s="22">
        <v>4</v>
      </c>
      <c r="B6" s="23">
        <f t="shared" si="0"/>
        <v>403</v>
      </c>
      <c r="C6" s="23" t="str">
        <f t="shared" si="1"/>
        <v>0193</v>
      </c>
      <c r="D6" s="22"/>
      <c r="E6" s="22" t="s">
        <v>132</v>
      </c>
      <c r="F6" s="22" t="s">
        <v>392</v>
      </c>
      <c r="G6" s="22" t="s">
        <v>231</v>
      </c>
      <c r="H6" t="s">
        <v>232</v>
      </c>
    </row>
    <row r="7" spans="1:11">
      <c r="A7" s="22">
        <v>5</v>
      </c>
      <c r="B7" s="23">
        <f t="shared" si="0"/>
        <v>404</v>
      </c>
      <c r="C7" s="23" t="str">
        <f t="shared" si="1"/>
        <v>0194</v>
      </c>
      <c r="D7" s="31"/>
      <c r="E7" s="22" t="s">
        <v>132</v>
      </c>
      <c r="F7" s="22" t="s">
        <v>393</v>
      </c>
      <c r="G7" s="22" t="s">
        <v>231</v>
      </c>
      <c r="H7" s="3" t="s">
        <v>282</v>
      </c>
    </row>
    <row r="8" spans="1:11">
      <c r="A8" s="22">
        <v>6</v>
      </c>
      <c r="B8" s="23">
        <f t="shared" si="0"/>
        <v>405</v>
      </c>
      <c r="C8" s="23" t="str">
        <f t="shared" si="1"/>
        <v>0195</v>
      </c>
      <c r="D8" s="31"/>
      <c r="E8" s="22" t="s">
        <v>132</v>
      </c>
      <c r="F8" s="22" t="s">
        <v>394</v>
      </c>
      <c r="G8" s="22" t="s">
        <v>231</v>
      </c>
      <c r="H8" t="s">
        <v>395</v>
      </c>
    </row>
    <row r="9" spans="1:11">
      <c r="A9" s="22">
        <v>7</v>
      </c>
      <c r="B9" s="23">
        <f t="shared" si="0"/>
        <v>406</v>
      </c>
      <c r="C9" s="23" t="str">
        <f t="shared" si="1"/>
        <v>0196</v>
      </c>
      <c r="D9" s="31"/>
      <c r="E9" s="22" t="s">
        <v>132</v>
      </c>
      <c r="F9" s="22" t="s">
        <v>396</v>
      </c>
      <c r="G9" s="22" t="s">
        <v>231</v>
      </c>
      <c r="H9" t="s">
        <v>299</v>
      </c>
    </row>
    <row r="10" spans="1:11">
      <c r="A10" s="22">
        <v>8</v>
      </c>
      <c r="B10" s="23">
        <f t="shared" si="0"/>
        <v>407</v>
      </c>
      <c r="C10" s="23" t="str">
        <f t="shared" si="1"/>
        <v>0197</v>
      </c>
      <c r="D10" s="31"/>
      <c r="E10" s="22" t="s">
        <v>132</v>
      </c>
      <c r="F10" s="23" t="s">
        <v>397</v>
      </c>
      <c r="G10" s="22" t="s">
        <v>231</v>
      </c>
      <c r="H10" t="s">
        <v>299</v>
      </c>
    </row>
    <row r="11" spans="1:11">
      <c r="A11" s="22">
        <v>9</v>
      </c>
      <c r="B11" s="23">
        <f t="shared" si="0"/>
        <v>408</v>
      </c>
      <c r="C11" s="23" t="str">
        <f t="shared" si="1"/>
        <v>0198</v>
      </c>
      <c r="D11" s="31"/>
      <c r="E11" s="22" t="s">
        <v>132</v>
      </c>
      <c r="F11" s="1" t="s">
        <v>309</v>
      </c>
      <c r="G11" s="1" t="s">
        <v>114</v>
      </c>
      <c r="H11" s="3" t="s">
        <v>398</v>
      </c>
    </row>
    <row r="12" spans="1:11">
      <c r="A12" s="22">
        <v>10</v>
      </c>
      <c r="B12" s="23">
        <f t="shared" si="0"/>
        <v>409</v>
      </c>
      <c r="C12" s="23" t="str">
        <f t="shared" si="1"/>
        <v>0199</v>
      </c>
      <c r="D12" s="31"/>
      <c r="E12" s="22" t="s">
        <v>132</v>
      </c>
      <c r="F12" s="1" t="s">
        <v>399</v>
      </c>
      <c r="G12" s="1" t="s">
        <v>114</v>
      </c>
      <c r="H12" s="3" t="s">
        <v>398</v>
      </c>
    </row>
    <row r="13" spans="1:11">
      <c r="A13" s="22">
        <v>11</v>
      </c>
      <c r="B13" s="23">
        <f t="shared" si="0"/>
        <v>410</v>
      </c>
      <c r="C13" s="23" t="str">
        <f t="shared" si="1"/>
        <v>019A</v>
      </c>
      <c r="D13" s="31"/>
      <c r="E13" s="22" t="s">
        <v>132</v>
      </c>
      <c r="F13" s="22" t="s">
        <v>400</v>
      </c>
      <c r="G13" s="22" t="s">
        <v>231</v>
      </c>
      <c r="H13" t="s">
        <v>232</v>
      </c>
    </row>
    <row r="14" spans="1:11">
      <c r="A14" s="22">
        <v>12</v>
      </c>
      <c r="B14" s="23">
        <f t="shared" si="0"/>
        <v>411</v>
      </c>
      <c r="C14" s="23" t="str">
        <f t="shared" si="1"/>
        <v>019B</v>
      </c>
      <c r="D14" s="31"/>
      <c r="E14" s="22" t="s">
        <v>132</v>
      </c>
      <c r="F14" s="22" t="s">
        <v>401</v>
      </c>
      <c r="G14" s="22" t="s">
        <v>231</v>
      </c>
      <c r="H14" t="s">
        <v>234</v>
      </c>
    </row>
    <row r="15" spans="1:11">
      <c r="A15" s="22">
        <v>13</v>
      </c>
      <c r="B15" s="23">
        <f t="shared" si="0"/>
        <v>412</v>
      </c>
      <c r="C15" s="23" t="str">
        <f t="shared" si="1"/>
        <v>019C</v>
      </c>
      <c r="D15" s="31"/>
      <c r="E15" s="22" t="s">
        <v>132</v>
      </c>
      <c r="F15" s="23" t="s">
        <v>402</v>
      </c>
      <c r="G15" s="22" t="s">
        <v>231</v>
      </c>
      <c r="H15" t="s">
        <v>234</v>
      </c>
    </row>
    <row r="16" spans="1:11">
      <c r="A16" s="22">
        <v>14</v>
      </c>
      <c r="B16" s="23">
        <f t="shared" ref="B16:B34" si="2">$B$2+A16-1</f>
        <v>413</v>
      </c>
      <c r="C16" s="23" t="str">
        <f t="shared" ref="C16:C34" si="3">DEC2HEX(B16,4)</f>
        <v>019D</v>
      </c>
      <c r="E16" s="22" t="s">
        <v>132</v>
      </c>
      <c r="F16" s="23" t="s">
        <v>403</v>
      </c>
      <c r="G16" s="22" t="s">
        <v>231</v>
      </c>
      <c r="H16" t="s">
        <v>299</v>
      </c>
    </row>
    <row r="17" spans="1:9">
      <c r="A17" s="22">
        <v>15</v>
      </c>
      <c r="B17" s="23">
        <f t="shared" si="2"/>
        <v>414</v>
      </c>
      <c r="C17" s="23" t="str">
        <f t="shared" si="3"/>
        <v>019E</v>
      </c>
      <c r="E17" s="22" t="s">
        <v>132</v>
      </c>
      <c r="F17" s="23" t="s">
        <v>404</v>
      </c>
      <c r="G17" s="22" t="s">
        <v>231</v>
      </c>
      <c r="H17" t="s">
        <v>299</v>
      </c>
    </row>
    <row r="18" spans="1:9">
      <c r="A18" s="22">
        <v>16</v>
      </c>
      <c r="B18" s="23">
        <f t="shared" si="2"/>
        <v>415</v>
      </c>
      <c r="C18" s="23" t="str">
        <f t="shared" si="3"/>
        <v>019F</v>
      </c>
      <c r="E18" s="22" t="s">
        <v>132</v>
      </c>
      <c r="F18" s="23" t="s">
        <v>405</v>
      </c>
      <c r="G18" s="22" t="s">
        <v>231</v>
      </c>
      <c r="H18" t="s">
        <v>232</v>
      </c>
      <c r="I18" t="s">
        <v>123</v>
      </c>
    </row>
    <row r="19" spans="1:9">
      <c r="A19" s="22">
        <v>17</v>
      </c>
      <c r="B19" s="23">
        <f t="shared" si="2"/>
        <v>416</v>
      </c>
      <c r="C19" s="23" t="str">
        <f t="shared" si="3"/>
        <v>01A0</v>
      </c>
      <c r="E19" s="22" t="s">
        <v>132</v>
      </c>
      <c r="F19" s="23" t="s">
        <v>406</v>
      </c>
      <c r="G19" s="22" t="s">
        <v>231</v>
      </c>
      <c r="H19" t="s">
        <v>232</v>
      </c>
      <c r="I19" t="s">
        <v>123</v>
      </c>
    </row>
    <row r="20" spans="1:9">
      <c r="A20" s="22">
        <v>18</v>
      </c>
      <c r="B20" s="23">
        <f t="shared" si="2"/>
        <v>417</v>
      </c>
      <c r="C20" s="23" t="str">
        <f t="shared" si="3"/>
        <v>01A1</v>
      </c>
      <c r="E20" s="22" t="s">
        <v>132</v>
      </c>
      <c r="F20" s="22" t="s">
        <v>407</v>
      </c>
      <c r="G20" s="22" t="s">
        <v>114</v>
      </c>
    </row>
    <row r="21" spans="1:9">
      <c r="A21" s="22">
        <v>19</v>
      </c>
      <c r="B21" s="23">
        <f t="shared" si="2"/>
        <v>418</v>
      </c>
      <c r="C21" s="23" t="str">
        <f t="shared" si="3"/>
        <v>01A2</v>
      </c>
      <c r="E21" s="22" t="s">
        <v>132</v>
      </c>
      <c r="F21" s="22" t="s">
        <v>408</v>
      </c>
      <c r="G21" s="22" t="s">
        <v>114</v>
      </c>
    </row>
    <row r="22" spans="1:9">
      <c r="A22" s="22">
        <v>20</v>
      </c>
      <c r="B22" s="23">
        <f t="shared" si="2"/>
        <v>419</v>
      </c>
      <c r="C22" s="23" t="str">
        <f t="shared" si="3"/>
        <v>01A3</v>
      </c>
    </row>
    <row r="23" spans="1:9">
      <c r="A23" s="22">
        <v>21</v>
      </c>
      <c r="B23" s="23">
        <f t="shared" si="2"/>
        <v>420</v>
      </c>
      <c r="C23" s="23" t="str">
        <f t="shared" si="3"/>
        <v>01A4</v>
      </c>
      <c r="F23" s="22"/>
      <c r="G23" s="22"/>
    </row>
    <row r="24" spans="1:9">
      <c r="A24" s="22">
        <v>22</v>
      </c>
      <c r="B24" s="23">
        <f t="shared" si="2"/>
        <v>421</v>
      </c>
      <c r="C24" s="23" t="str">
        <f t="shared" si="3"/>
        <v>01A5</v>
      </c>
    </row>
    <row r="25" spans="1:9">
      <c r="A25" s="22">
        <v>23</v>
      </c>
      <c r="B25" s="23">
        <f t="shared" si="2"/>
        <v>422</v>
      </c>
      <c r="C25" s="23" t="str">
        <f t="shared" si="3"/>
        <v>01A6</v>
      </c>
    </row>
    <row r="26" spans="1:9">
      <c r="A26" s="22">
        <v>24</v>
      </c>
      <c r="B26" s="23">
        <f t="shared" si="2"/>
        <v>423</v>
      </c>
      <c r="C26" s="23" t="str">
        <f t="shared" si="3"/>
        <v>01A7</v>
      </c>
    </row>
    <row r="27" spans="1:9">
      <c r="A27" s="22">
        <v>25</v>
      </c>
      <c r="B27" s="23">
        <f t="shared" si="2"/>
        <v>424</v>
      </c>
      <c r="C27" s="23" t="str">
        <f t="shared" si="3"/>
        <v>01A8</v>
      </c>
    </row>
    <row r="28" spans="1:9">
      <c r="A28" s="22">
        <v>26</v>
      </c>
      <c r="B28" s="23">
        <f t="shared" si="2"/>
        <v>425</v>
      </c>
      <c r="C28" s="23" t="str">
        <f t="shared" si="3"/>
        <v>01A9</v>
      </c>
    </row>
    <row r="29" spans="1:9">
      <c r="A29" s="22">
        <v>27</v>
      </c>
      <c r="B29" s="23">
        <f t="shared" si="2"/>
        <v>426</v>
      </c>
      <c r="C29" s="23" t="str">
        <f t="shared" si="3"/>
        <v>01AA</v>
      </c>
    </row>
    <row r="30" spans="1:9">
      <c r="A30" s="22">
        <v>28</v>
      </c>
      <c r="B30" s="23">
        <f t="shared" si="2"/>
        <v>427</v>
      </c>
      <c r="C30" s="23" t="str">
        <f t="shared" si="3"/>
        <v>01AB</v>
      </c>
    </row>
    <row r="31" spans="1:9">
      <c r="A31" s="22">
        <v>29</v>
      </c>
      <c r="B31" s="23">
        <f t="shared" si="2"/>
        <v>428</v>
      </c>
      <c r="C31" s="23" t="str">
        <f t="shared" si="3"/>
        <v>01AC</v>
      </c>
    </row>
    <row r="32" spans="1:9">
      <c r="A32" s="22">
        <v>30</v>
      </c>
      <c r="B32" s="23">
        <f t="shared" si="2"/>
        <v>429</v>
      </c>
      <c r="C32" s="23" t="str">
        <f t="shared" si="3"/>
        <v>01AD</v>
      </c>
    </row>
    <row r="33" spans="1:3">
      <c r="A33" s="22">
        <v>31</v>
      </c>
      <c r="B33" s="23">
        <f t="shared" si="2"/>
        <v>430</v>
      </c>
      <c r="C33" s="23" t="str">
        <f t="shared" si="3"/>
        <v>01AE</v>
      </c>
    </row>
    <row r="34" spans="1:3">
      <c r="A34" s="22">
        <v>32</v>
      </c>
      <c r="B34" s="23">
        <f t="shared" si="2"/>
        <v>431</v>
      </c>
      <c r="C34" s="23" t="str">
        <f t="shared" si="3"/>
        <v>01AF</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K98"/>
  <sheetViews>
    <sheetView workbookViewId="0">
      <selection activeCell="A7" sqref="A7:XFD7"/>
    </sheetView>
  </sheetViews>
  <sheetFormatPr defaultColWidth="8.7109375" defaultRowHeight="15"/>
  <cols>
    <col min="1" max="1" width="5.5703125" style="3" customWidth="1"/>
    <col min="2" max="2" width="14" style="3" customWidth="1"/>
    <col min="3" max="3" width="5.5703125" style="3" customWidth="1"/>
    <col min="4" max="4" width="7.5703125" style="3" customWidth="1"/>
    <col min="5" max="5" width="5.5703125" style="3" customWidth="1"/>
    <col min="6" max="6" width="26.140625" style="3" customWidth="1"/>
    <col min="7" max="7" width="18.5703125" style="4" customWidth="1"/>
    <col min="8" max="8" width="6.5703125" style="4" customWidth="1"/>
    <col min="9" max="9" width="5.5703125" style="3" customWidth="1"/>
    <col min="10" max="11" width="7.5703125" style="3" customWidth="1"/>
    <col min="12" max="16384" width="8.7109375" style="3"/>
  </cols>
  <sheetData>
    <row r="1" spans="1:11">
      <c r="A1" s="1" t="s">
        <v>99</v>
      </c>
      <c r="B1" s="1" t="s">
        <v>100</v>
      </c>
      <c r="C1" s="1" t="s">
        <v>101</v>
      </c>
      <c r="D1" s="1" t="s">
        <v>102</v>
      </c>
      <c r="E1" s="1" t="s">
        <v>103</v>
      </c>
      <c r="F1" s="1" t="s">
        <v>104</v>
      </c>
      <c r="G1" s="1" t="s">
        <v>105</v>
      </c>
      <c r="H1" s="1" t="s">
        <v>106</v>
      </c>
      <c r="I1" s="1" t="s">
        <v>107</v>
      </c>
      <c r="J1" s="1" t="s">
        <v>108</v>
      </c>
      <c r="K1" s="1" t="s">
        <v>109</v>
      </c>
    </row>
    <row r="2" spans="1:11" s="1" customFormat="1">
      <c r="B2" s="1">
        <f>HEX2DEC(C2)</f>
        <v>432</v>
      </c>
      <c r="C2" s="1" t="s">
        <v>409</v>
      </c>
      <c r="F2" s="1" t="s">
        <v>410</v>
      </c>
      <c r="I2" s="9"/>
    </row>
    <row r="3" spans="1:11" s="1" customFormat="1">
      <c r="A3" s="1">
        <v>1</v>
      </c>
      <c r="B3" s="4">
        <f t="shared" ref="B3:B66" si="0">$B$2+A3-1</f>
        <v>432</v>
      </c>
      <c r="C3" s="4" t="str">
        <f t="shared" ref="C3:C66" si="1">DEC2HEX(B3,4)</f>
        <v>01B0</v>
      </c>
      <c r="E3" s="1" t="s">
        <v>132</v>
      </c>
      <c r="F3" s="1" t="s">
        <v>230</v>
      </c>
      <c r="G3" s="1" t="s">
        <v>231</v>
      </c>
      <c r="H3" s="1" t="s">
        <v>232</v>
      </c>
      <c r="I3" s="9"/>
    </row>
    <row r="4" spans="1:11" s="1" customFormat="1">
      <c r="A4" s="1">
        <v>2</v>
      </c>
      <c r="B4" s="4">
        <f t="shared" si="0"/>
        <v>433</v>
      </c>
      <c r="C4" s="4" t="str">
        <f t="shared" si="1"/>
        <v>01B1</v>
      </c>
      <c r="E4" s="1" t="s">
        <v>132</v>
      </c>
      <c r="F4" s="1" t="s">
        <v>233</v>
      </c>
      <c r="G4" s="1" t="s">
        <v>231</v>
      </c>
      <c r="H4" s="1" t="s">
        <v>234</v>
      </c>
      <c r="I4" s="9"/>
    </row>
    <row r="5" spans="1:11" s="1" customFormat="1">
      <c r="A5" s="1">
        <v>3</v>
      </c>
      <c r="B5" s="4">
        <f t="shared" si="0"/>
        <v>434</v>
      </c>
      <c r="C5" s="4" t="str">
        <f t="shared" si="1"/>
        <v>01B2</v>
      </c>
      <c r="E5" s="1" t="s">
        <v>132</v>
      </c>
      <c r="F5" s="1" t="s">
        <v>235</v>
      </c>
      <c r="G5" s="1" t="s">
        <v>231</v>
      </c>
      <c r="H5" s="1" t="s">
        <v>236</v>
      </c>
      <c r="I5" s="9"/>
    </row>
    <row r="6" spans="1:11" s="1" customFormat="1">
      <c r="A6" s="1">
        <v>4</v>
      </c>
      <c r="B6" s="4">
        <f t="shared" si="0"/>
        <v>435</v>
      </c>
      <c r="C6" s="4" t="str">
        <f t="shared" si="1"/>
        <v>01B3</v>
      </c>
      <c r="E6" s="1" t="s">
        <v>132</v>
      </c>
      <c r="F6" s="1" t="s">
        <v>237</v>
      </c>
      <c r="G6" s="1" t="s">
        <v>231</v>
      </c>
      <c r="H6" s="1" t="s">
        <v>364</v>
      </c>
      <c r="I6" s="9"/>
    </row>
    <row r="7" spans="1:11" s="1" customFormat="1">
      <c r="A7" s="1">
        <v>5</v>
      </c>
      <c r="B7" s="4">
        <f t="shared" si="0"/>
        <v>436</v>
      </c>
      <c r="C7" s="4" t="str">
        <f t="shared" si="1"/>
        <v>01B4</v>
      </c>
      <c r="E7" s="1" t="s">
        <v>132</v>
      </c>
      <c r="F7" s="1" t="s">
        <v>411</v>
      </c>
      <c r="G7" s="1" t="s">
        <v>231</v>
      </c>
      <c r="H7" s="1" t="s">
        <v>364</v>
      </c>
      <c r="I7" s="9"/>
    </row>
    <row r="8" spans="1:11" s="1" customFormat="1">
      <c r="A8" s="1">
        <v>6</v>
      </c>
      <c r="B8" s="4">
        <f t="shared" si="0"/>
        <v>437</v>
      </c>
      <c r="C8" s="4" t="str">
        <f t="shared" si="1"/>
        <v>01B5</v>
      </c>
      <c r="I8" s="9"/>
    </row>
    <row r="9" spans="1:11" s="1" customFormat="1">
      <c r="A9" s="1">
        <v>7</v>
      </c>
      <c r="B9" s="4">
        <f t="shared" si="0"/>
        <v>438</v>
      </c>
      <c r="C9" s="4" t="str">
        <f t="shared" si="1"/>
        <v>01B6</v>
      </c>
      <c r="I9" s="9"/>
    </row>
    <row r="10" spans="1:11" s="1" customFormat="1">
      <c r="A10" s="1">
        <v>8</v>
      </c>
      <c r="B10" s="4">
        <f t="shared" si="0"/>
        <v>439</v>
      </c>
      <c r="C10" s="4" t="str">
        <f t="shared" si="1"/>
        <v>01B7</v>
      </c>
      <c r="E10" s="1" t="s">
        <v>132</v>
      </c>
      <c r="F10" s="1" t="s">
        <v>412</v>
      </c>
      <c r="G10" s="1" t="s">
        <v>114</v>
      </c>
      <c r="H10" s="1" t="s">
        <v>413</v>
      </c>
      <c r="I10" s="9"/>
    </row>
    <row r="11" spans="1:11" s="1" customFormat="1">
      <c r="A11" s="1">
        <v>9</v>
      </c>
      <c r="B11" s="4">
        <f t="shared" si="0"/>
        <v>440</v>
      </c>
      <c r="C11" s="4" t="str">
        <f t="shared" si="1"/>
        <v>01B8</v>
      </c>
      <c r="E11" s="1" t="s">
        <v>132</v>
      </c>
      <c r="F11" s="1" t="s">
        <v>414</v>
      </c>
      <c r="G11" s="1" t="s">
        <v>114</v>
      </c>
      <c r="H11" s="1" t="s">
        <v>413</v>
      </c>
      <c r="I11" s="9"/>
    </row>
    <row r="12" spans="1:11" s="1" customFormat="1">
      <c r="A12" s="1">
        <v>10</v>
      </c>
      <c r="B12" s="4">
        <f t="shared" si="0"/>
        <v>441</v>
      </c>
      <c r="C12" s="4" t="str">
        <f t="shared" si="1"/>
        <v>01B9</v>
      </c>
      <c r="E12" s="1" t="s">
        <v>132</v>
      </c>
      <c r="F12" s="1" t="s">
        <v>415</v>
      </c>
      <c r="G12" s="1" t="s">
        <v>114</v>
      </c>
      <c r="H12" s="1" t="s">
        <v>413</v>
      </c>
      <c r="I12" s="9"/>
    </row>
    <row r="13" spans="1:11" s="1" customFormat="1">
      <c r="A13" s="1">
        <v>11</v>
      </c>
      <c r="B13" s="4">
        <f t="shared" si="0"/>
        <v>442</v>
      </c>
      <c r="C13" s="4" t="str">
        <f t="shared" si="1"/>
        <v>01BA</v>
      </c>
      <c r="E13" s="1" t="s">
        <v>132</v>
      </c>
      <c r="F13" s="1" t="s">
        <v>416</v>
      </c>
      <c r="G13" s="1" t="s">
        <v>114</v>
      </c>
      <c r="H13" s="1" t="s">
        <v>413</v>
      </c>
      <c r="I13" s="9"/>
    </row>
    <row r="14" spans="1:11" s="1" customFormat="1">
      <c r="A14" s="1">
        <v>12</v>
      </c>
      <c r="B14" s="4">
        <f t="shared" si="0"/>
        <v>443</v>
      </c>
      <c r="C14" s="4" t="str">
        <f t="shared" si="1"/>
        <v>01BB</v>
      </c>
      <c r="E14" s="1" t="s">
        <v>132</v>
      </c>
      <c r="F14" s="1" t="s">
        <v>417</v>
      </c>
      <c r="G14" s="1" t="s">
        <v>114</v>
      </c>
      <c r="H14" s="1" t="s">
        <v>413</v>
      </c>
      <c r="I14" s="9"/>
    </row>
    <row r="15" spans="1:11" s="1" customFormat="1">
      <c r="A15" s="1">
        <v>13</v>
      </c>
      <c r="B15" s="4">
        <f t="shared" si="0"/>
        <v>444</v>
      </c>
      <c r="C15" s="4" t="str">
        <f t="shared" si="1"/>
        <v>01BC</v>
      </c>
      <c r="E15" s="1" t="s">
        <v>132</v>
      </c>
      <c r="F15" s="1" t="s">
        <v>418</v>
      </c>
      <c r="G15" s="1" t="s">
        <v>114</v>
      </c>
      <c r="H15" s="1" t="s">
        <v>413</v>
      </c>
      <c r="I15" s="9"/>
    </row>
    <row r="16" spans="1:11" s="1" customFormat="1">
      <c r="A16" s="1">
        <v>14</v>
      </c>
      <c r="B16" s="4">
        <f t="shared" si="0"/>
        <v>445</v>
      </c>
      <c r="C16" s="4" t="str">
        <f t="shared" si="1"/>
        <v>01BD</v>
      </c>
      <c r="E16" s="1" t="s">
        <v>132</v>
      </c>
      <c r="F16" s="1" t="s">
        <v>419</v>
      </c>
      <c r="G16" s="1" t="s">
        <v>114</v>
      </c>
      <c r="H16" s="1" t="s">
        <v>413</v>
      </c>
      <c r="I16" s="9"/>
    </row>
    <row r="17" spans="1:9" s="1" customFormat="1">
      <c r="A17" s="1">
        <v>15</v>
      </c>
      <c r="B17" s="4">
        <f t="shared" si="0"/>
        <v>446</v>
      </c>
      <c r="C17" s="4" t="str">
        <f t="shared" si="1"/>
        <v>01BE</v>
      </c>
      <c r="E17" s="1" t="s">
        <v>132</v>
      </c>
      <c r="F17" s="1" t="s">
        <v>420</v>
      </c>
      <c r="G17" s="1" t="s">
        <v>114</v>
      </c>
      <c r="H17" s="1" t="s">
        <v>413</v>
      </c>
      <c r="I17" s="9"/>
    </row>
    <row r="18" spans="1:9">
      <c r="A18" s="1">
        <v>16</v>
      </c>
      <c r="B18" s="4">
        <f t="shared" si="0"/>
        <v>447</v>
      </c>
      <c r="C18" s="4" t="str">
        <f t="shared" si="1"/>
        <v>01BF</v>
      </c>
      <c r="E18" s="1" t="s">
        <v>132</v>
      </c>
      <c r="F18" s="1" t="s">
        <v>421</v>
      </c>
      <c r="G18" s="1" t="s">
        <v>114</v>
      </c>
      <c r="H18" s="1" t="s">
        <v>413</v>
      </c>
    </row>
    <row r="19" spans="1:9">
      <c r="A19" s="1">
        <v>17</v>
      </c>
      <c r="B19" s="4">
        <f t="shared" si="0"/>
        <v>448</v>
      </c>
      <c r="C19" s="4" t="str">
        <f t="shared" si="1"/>
        <v>01C0</v>
      </c>
      <c r="E19" s="1" t="s">
        <v>132</v>
      </c>
      <c r="F19" s="1" t="s">
        <v>422</v>
      </c>
      <c r="G19" s="1" t="s">
        <v>114</v>
      </c>
      <c r="H19" s="1" t="s">
        <v>413</v>
      </c>
    </row>
    <row r="20" spans="1:9">
      <c r="A20" s="1">
        <v>18</v>
      </c>
      <c r="B20" s="4">
        <f t="shared" si="0"/>
        <v>449</v>
      </c>
      <c r="C20" s="4" t="str">
        <f t="shared" si="1"/>
        <v>01C1</v>
      </c>
      <c r="E20" s="1" t="s">
        <v>132</v>
      </c>
      <c r="F20" s="1" t="s">
        <v>423</v>
      </c>
      <c r="G20" s="1" t="s">
        <v>114</v>
      </c>
      <c r="H20" s="1" t="s">
        <v>413</v>
      </c>
    </row>
    <row r="21" spans="1:9">
      <c r="A21" s="1">
        <v>19</v>
      </c>
      <c r="B21" s="4">
        <f t="shared" si="0"/>
        <v>450</v>
      </c>
      <c r="C21" s="4" t="str">
        <f t="shared" si="1"/>
        <v>01C2</v>
      </c>
      <c r="E21" s="1" t="s">
        <v>132</v>
      </c>
      <c r="F21" s="1" t="s">
        <v>424</v>
      </c>
      <c r="G21" s="1" t="s">
        <v>114</v>
      </c>
      <c r="H21" s="1" t="s">
        <v>413</v>
      </c>
    </row>
    <row r="22" spans="1:9">
      <c r="A22" s="1">
        <v>20</v>
      </c>
      <c r="B22" s="4">
        <f t="shared" si="0"/>
        <v>451</v>
      </c>
      <c r="C22" s="4" t="str">
        <f t="shared" si="1"/>
        <v>01C3</v>
      </c>
      <c r="E22" s="1" t="s">
        <v>132</v>
      </c>
      <c r="F22" s="1" t="s">
        <v>425</v>
      </c>
      <c r="G22" s="1" t="s">
        <v>114</v>
      </c>
      <c r="H22" s="1" t="s">
        <v>413</v>
      </c>
    </row>
    <row r="23" spans="1:9">
      <c r="A23" s="1">
        <v>21</v>
      </c>
      <c r="B23" s="4">
        <f t="shared" si="0"/>
        <v>452</v>
      </c>
      <c r="C23" s="4" t="str">
        <f t="shared" si="1"/>
        <v>01C4</v>
      </c>
      <c r="E23" s="1" t="s">
        <v>132</v>
      </c>
      <c r="F23" s="1" t="s">
        <v>426</v>
      </c>
      <c r="G23" s="1" t="s">
        <v>114</v>
      </c>
      <c r="H23" s="1" t="s">
        <v>413</v>
      </c>
    </row>
    <row r="24" spans="1:9">
      <c r="A24" s="1">
        <v>22</v>
      </c>
      <c r="B24" s="4">
        <f t="shared" si="0"/>
        <v>453</v>
      </c>
      <c r="C24" s="4" t="str">
        <f t="shared" si="1"/>
        <v>01C5</v>
      </c>
      <c r="E24" s="1" t="s">
        <v>132</v>
      </c>
      <c r="F24" s="1" t="s">
        <v>427</v>
      </c>
      <c r="G24" s="1" t="s">
        <v>114</v>
      </c>
      <c r="H24" s="1" t="s">
        <v>413</v>
      </c>
    </row>
    <row r="25" spans="1:9">
      <c r="A25" s="1">
        <v>23</v>
      </c>
      <c r="B25" s="4">
        <f t="shared" si="0"/>
        <v>454</v>
      </c>
      <c r="C25" s="4" t="str">
        <f t="shared" si="1"/>
        <v>01C6</v>
      </c>
      <c r="E25" s="1" t="s">
        <v>132</v>
      </c>
      <c r="F25" s="1" t="s">
        <v>428</v>
      </c>
      <c r="G25" s="1" t="s">
        <v>114</v>
      </c>
      <c r="H25" s="1" t="s">
        <v>413</v>
      </c>
    </row>
    <row r="26" spans="1:9">
      <c r="A26" s="1">
        <v>24</v>
      </c>
      <c r="B26" s="4">
        <f t="shared" si="0"/>
        <v>455</v>
      </c>
      <c r="C26" s="4" t="str">
        <f t="shared" si="1"/>
        <v>01C7</v>
      </c>
    </row>
    <row r="27" spans="1:9">
      <c r="A27" s="1">
        <v>25</v>
      </c>
      <c r="B27" s="4">
        <f t="shared" si="0"/>
        <v>456</v>
      </c>
      <c r="C27" s="4" t="str">
        <f t="shared" si="1"/>
        <v>01C8</v>
      </c>
    </row>
    <row r="28" spans="1:9">
      <c r="A28" s="1">
        <v>26</v>
      </c>
      <c r="B28" s="4">
        <f t="shared" si="0"/>
        <v>457</v>
      </c>
      <c r="C28" s="4" t="str">
        <f t="shared" si="1"/>
        <v>01C9</v>
      </c>
    </row>
    <row r="29" spans="1:9">
      <c r="A29" s="1">
        <v>27</v>
      </c>
      <c r="B29" s="4">
        <f t="shared" si="0"/>
        <v>458</v>
      </c>
      <c r="C29" s="4" t="str">
        <f t="shared" si="1"/>
        <v>01CA</v>
      </c>
    </row>
    <row r="30" spans="1:9">
      <c r="A30" s="1">
        <v>28</v>
      </c>
      <c r="B30" s="4">
        <f t="shared" si="0"/>
        <v>459</v>
      </c>
      <c r="C30" s="4" t="str">
        <f t="shared" si="1"/>
        <v>01CB</v>
      </c>
    </row>
    <row r="31" spans="1:9">
      <c r="A31" s="1">
        <v>29</v>
      </c>
      <c r="B31" s="4">
        <f t="shared" si="0"/>
        <v>460</v>
      </c>
      <c r="C31" s="4" t="str">
        <f t="shared" si="1"/>
        <v>01CC</v>
      </c>
    </row>
    <row r="32" spans="1:9">
      <c r="A32" s="1">
        <v>30</v>
      </c>
      <c r="B32" s="4">
        <f t="shared" si="0"/>
        <v>461</v>
      </c>
      <c r="C32" s="4" t="str">
        <f t="shared" si="1"/>
        <v>01CD</v>
      </c>
    </row>
    <row r="33" spans="1:8">
      <c r="A33" s="1">
        <v>31</v>
      </c>
      <c r="B33" s="4">
        <f t="shared" si="0"/>
        <v>462</v>
      </c>
      <c r="C33" s="4" t="str">
        <f t="shared" si="1"/>
        <v>01CE</v>
      </c>
    </row>
    <row r="34" spans="1:8">
      <c r="A34" s="1">
        <v>32</v>
      </c>
      <c r="B34" s="4">
        <f t="shared" si="0"/>
        <v>463</v>
      </c>
      <c r="C34" s="4" t="str">
        <f t="shared" si="1"/>
        <v>01CF</v>
      </c>
    </row>
    <row r="35" spans="1:8">
      <c r="A35" s="1">
        <v>33</v>
      </c>
      <c r="B35" s="4">
        <f t="shared" si="0"/>
        <v>464</v>
      </c>
      <c r="C35" s="4" t="str">
        <f t="shared" si="1"/>
        <v>01D0</v>
      </c>
      <c r="E35" s="1" t="s">
        <v>132</v>
      </c>
      <c r="F35" s="1" t="s">
        <v>250</v>
      </c>
      <c r="G35" s="1" t="s">
        <v>231</v>
      </c>
      <c r="H35" s="1" t="s">
        <v>232</v>
      </c>
    </row>
    <row r="36" spans="1:8">
      <c r="A36" s="1">
        <v>34</v>
      </c>
      <c r="B36" s="4">
        <f t="shared" si="0"/>
        <v>465</v>
      </c>
      <c r="C36" s="4" t="str">
        <f t="shared" si="1"/>
        <v>01D1</v>
      </c>
      <c r="E36" s="1" t="s">
        <v>132</v>
      </c>
      <c r="F36" s="1" t="s">
        <v>251</v>
      </c>
      <c r="G36" s="1" t="s">
        <v>231</v>
      </c>
      <c r="H36" s="1" t="s">
        <v>234</v>
      </c>
    </row>
    <row r="37" spans="1:8">
      <c r="A37" s="1">
        <v>35</v>
      </c>
      <c r="B37" s="4">
        <f t="shared" si="0"/>
        <v>466</v>
      </c>
      <c r="C37" s="4" t="str">
        <f t="shared" si="1"/>
        <v>01D2</v>
      </c>
      <c r="E37" s="1" t="s">
        <v>132</v>
      </c>
      <c r="F37" s="1" t="s">
        <v>252</v>
      </c>
      <c r="G37" s="1" t="s">
        <v>231</v>
      </c>
      <c r="H37" s="1" t="s">
        <v>236</v>
      </c>
    </row>
    <row r="38" spans="1:8">
      <c r="A38" s="1">
        <v>36</v>
      </c>
      <c r="B38" s="4">
        <f t="shared" si="0"/>
        <v>467</v>
      </c>
      <c r="C38" s="4" t="str">
        <f t="shared" si="1"/>
        <v>01D3</v>
      </c>
      <c r="E38" s="1" t="s">
        <v>132</v>
      </c>
      <c r="F38" s="1" t="s">
        <v>253</v>
      </c>
      <c r="G38" s="1" t="s">
        <v>231</v>
      </c>
      <c r="H38" s="1" t="s">
        <v>364</v>
      </c>
    </row>
    <row r="39" spans="1:8">
      <c r="A39" s="1">
        <v>37</v>
      </c>
      <c r="B39" s="4">
        <f t="shared" si="0"/>
        <v>468</v>
      </c>
      <c r="C39" s="4" t="str">
        <f t="shared" si="1"/>
        <v>01D4</v>
      </c>
      <c r="E39" s="1" t="s">
        <v>132</v>
      </c>
      <c r="F39" s="1" t="s">
        <v>429</v>
      </c>
      <c r="G39" s="1" t="s">
        <v>231</v>
      </c>
      <c r="H39" s="1" t="s">
        <v>364</v>
      </c>
    </row>
    <row r="40" spans="1:8">
      <c r="A40" s="1">
        <v>38</v>
      </c>
      <c r="B40" s="4">
        <f t="shared" si="0"/>
        <v>469</v>
      </c>
      <c r="C40" s="4" t="str">
        <f t="shared" si="1"/>
        <v>01D5</v>
      </c>
      <c r="E40" s="1"/>
      <c r="F40" s="1"/>
      <c r="G40" s="1"/>
      <c r="H40" s="1"/>
    </row>
    <row r="41" spans="1:8">
      <c r="A41" s="1">
        <v>39</v>
      </c>
      <c r="B41" s="4">
        <f t="shared" si="0"/>
        <v>470</v>
      </c>
      <c r="C41" s="4" t="str">
        <f t="shared" si="1"/>
        <v>01D6</v>
      </c>
      <c r="E41" s="1"/>
      <c r="F41" s="1"/>
      <c r="G41" s="1"/>
      <c r="H41" s="1"/>
    </row>
    <row r="42" spans="1:8">
      <c r="A42" s="1">
        <v>40</v>
      </c>
      <c r="B42" s="4">
        <f t="shared" si="0"/>
        <v>471</v>
      </c>
      <c r="C42" s="4" t="str">
        <f t="shared" si="1"/>
        <v>01D7</v>
      </c>
      <c r="E42" s="1" t="s">
        <v>132</v>
      </c>
      <c r="F42" s="1" t="s">
        <v>430</v>
      </c>
      <c r="G42" s="1" t="s">
        <v>114</v>
      </c>
      <c r="H42" s="1" t="s">
        <v>413</v>
      </c>
    </row>
    <row r="43" spans="1:8">
      <c r="A43" s="1">
        <v>41</v>
      </c>
      <c r="B43" s="4">
        <f t="shared" si="0"/>
        <v>472</v>
      </c>
      <c r="C43" s="4" t="str">
        <f t="shared" si="1"/>
        <v>01D8</v>
      </c>
      <c r="E43" s="1" t="s">
        <v>132</v>
      </c>
      <c r="F43" s="1" t="s">
        <v>430</v>
      </c>
      <c r="G43" s="1" t="s">
        <v>114</v>
      </c>
      <c r="H43" s="1" t="s">
        <v>413</v>
      </c>
    </row>
    <row r="44" spans="1:8">
      <c r="A44" s="1">
        <v>42</v>
      </c>
      <c r="B44" s="4">
        <f t="shared" si="0"/>
        <v>473</v>
      </c>
      <c r="C44" s="4" t="str">
        <f t="shared" si="1"/>
        <v>01D9</v>
      </c>
      <c r="E44" s="1" t="s">
        <v>132</v>
      </c>
      <c r="F44" s="1" t="s">
        <v>431</v>
      </c>
      <c r="G44" s="1" t="s">
        <v>114</v>
      </c>
      <c r="H44" s="1" t="s">
        <v>413</v>
      </c>
    </row>
    <row r="45" spans="1:8">
      <c r="A45" s="1">
        <v>43</v>
      </c>
      <c r="B45" s="4">
        <f t="shared" si="0"/>
        <v>474</v>
      </c>
      <c r="C45" s="4" t="str">
        <f t="shared" si="1"/>
        <v>01DA</v>
      </c>
      <c r="E45" s="1" t="s">
        <v>132</v>
      </c>
      <c r="F45" s="1" t="s">
        <v>432</v>
      </c>
      <c r="G45" s="1" t="s">
        <v>114</v>
      </c>
      <c r="H45" s="1" t="s">
        <v>413</v>
      </c>
    </row>
    <row r="46" spans="1:8">
      <c r="A46" s="1">
        <v>44</v>
      </c>
      <c r="B46" s="4">
        <f t="shared" si="0"/>
        <v>475</v>
      </c>
      <c r="C46" s="4" t="str">
        <f t="shared" si="1"/>
        <v>01DB</v>
      </c>
      <c r="E46" s="1" t="s">
        <v>132</v>
      </c>
      <c r="F46" s="1" t="s">
        <v>433</v>
      </c>
      <c r="G46" s="1" t="s">
        <v>114</v>
      </c>
      <c r="H46" s="1" t="s">
        <v>413</v>
      </c>
    </row>
    <row r="47" spans="1:8">
      <c r="A47" s="1">
        <v>45</v>
      </c>
      <c r="B47" s="4">
        <f t="shared" si="0"/>
        <v>476</v>
      </c>
      <c r="C47" s="4" t="str">
        <f t="shared" si="1"/>
        <v>01DC</v>
      </c>
      <c r="E47" s="1" t="s">
        <v>132</v>
      </c>
      <c r="F47" s="1" t="s">
        <v>434</v>
      </c>
      <c r="G47" s="1" t="s">
        <v>114</v>
      </c>
      <c r="H47" s="1" t="s">
        <v>413</v>
      </c>
    </row>
    <row r="48" spans="1:8">
      <c r="A48" s="1">
        <v>46</v>
      </c>
      <c r="B48" s="4">
        <f t="shared" si="0"/>
        <v>477</v>
      </c>
      <c r="C48" s="4" t="str">
        <f t="shared" si="1"/>
        <v>01DD</v>
      </c>
      <c r="E48" s="1" t="s">
        <v>132</v>
      </c>
      <c r="F48" s="1" t="s">
        <v>435</v>
      </c>
      <c r="G48" s="1" t="s">
        <v>114</v>
      </c>
      <c r="H48" s="1" t="s">
        <v>413</v>
      </c>
    </row>
    <row r="49" spans="1:8">
      <c r="A49" s="1">
        <v>47</v>
      </c>
      <c r="B49" s="4">
        <f t="shared" si="0"/>
        <v>478</v>
      </c>
      <c r="C49" s="4" t="str">
        <f t="shared" si="1"/>
        <v>01DE</v>
      </c>
      <c r="E49" s="1" t="s">
        <v>132</v>
      </c>
      <c r="F49" s="1" t="s">
        <v>436</v>
      </c>
      <c r="G49" s="1" t="s">
        <v>114</v>
      </c>
      <c r="H49" s="1" t="s">
        <v>413</v>
      </c>
    </row>
    <row r="50" spans="1:8">
      <c r="A50" s="1">
        <v>48</v>
      </c>
      <c r="B50" s="4">
        <f t="shared" si="0"/>
        <v>479</v>
      </c>
      <c r="C50" s="4" t="str">
        <f t="shared" si="1"/>
        <v>01DF</v>
      </c>
      <c r="E50" s="1" t="s">
        <v>132</v>
      </c>
      <c r="F50" s="1" t="s">
        <v>437</v>
      </c>
      <c r="G50" s="1" t="s">
        <v>114</v>
      </c>
      <c r="H50" s="1" t="s">
        <v>413</v>
      </c>
    </row>
    <row r="51" spans="1:8">
      <c r="A51" s="1">
        <v>49</v>
      </c>
      <c r="B51" s="4">
        <f t="shared" si="0"/>
        <v>480</v>
      </c>
      <c r="C51" s="4" t="str">
        <f t="shared" si="1"/>
        <v>01E0</v>
      </c>
      <c r="E51" s="1" t="s">
        <v>132</v>
      </c>
      <c r="F51" s="1" t="s">
        <v>438</v>
      </c>
      <c r="G51" s="1" t="s">
        <v>114</v>
      </c>
      <c r="H51" s="1" t="s">
        <v>413</v>
      </c>
    </row>
    <row r="52" spans="1:8">
      <c r="A52" s="1">
        <v>50</v>
      </c>
      <c r="B52" s="4">
        <f t="shared" si="0"/>
        <v>481</v>
      </c>
      <c r="C52" s="4" t="str">
        <f t="shared" si="1"/>
        <v>01E1</v>
      </c>
      <c r="E52" s="1" t="s">
        <v>132</v>
      </c>
      <c r="F52" s="1" t="s">
        <v>439</v>
      </c>
      <c r="G52" s="1" t="s">
        <v>114</v>
      </c>
      <c r="H52" s="1" t="s">
        <v>413</v>
      </c>
    </row>
    <row r="53" spans="1:8">
      <c r="A53" s="1">
        <v>51</v>
      </c>
      <c r="B53" s="4">
        <f t="shared" si="0"/>
        <v>482</v>
      </c>
      <c r="C53" s="4" t="str">
        <f t="shared" si="1"/>
        <v>01E2</v>
      </c>
      <c r="E53" s="1" t="s">
        <v>132</v>
      </c>
      <c r="F53" s="1" t="s">
        <v>440</v>
      </c>
      <c r="G53" s="1" t="s">
        <v>114</v>
      </c>
      <c r="H53" s="1" t="s">
        <v>413</v>
      </c>
    </row>
    <row r="54" spans="1:8">
      <c r="A54" s="1">
        <v>52</v>
      </c>
      <c r="B54" s="4">
        <f t="shared" si="0"/>
        <v>483</v>
      </c>
      <c r="C54" s="4" t="str">
        <f t="shared" si="1"/>
        <v>01E3</v>
      </c>
      <c r="E54" s="1" t="s">
        <v>132</v>
      </c>
      <c r="F54" s="1" t="s">
        <v>441</v>
      </c>
      <c r="G54" s="1" t="s">
        <v>114</v>
      </c>
      <c r="H54" s="1" t="s">
        <v>413</v>
      </c>
    </row>
    <row r="55" spans="1:8">
      <c r="A55" s="1">
        <v>53</v>
      </c>
      <c r="B55" s="4">
        <f t="shared" si="0"/>
        <v>484</v>
      </c>
      <c r="C55" s="4" t="str">
        <f t="shared" si="1"/>
        <v>01E4</v>
      </c>
      <c r="E55" s="1" t="s">
        <v>132</v>
      </c>
      <c r="F55" s="1" t="s">
        <v>442</v>
      </c>
      <c r="G55" s="1" t="s">
        <v>114</v>
      </c>
      <c r="H55" s="1" t="s">
        <v>413</v>
      </c>
    </row>
    <row r="56" spans="1:8">
      <c r="A56" s="1">
        <v>54</v>
      </c>
      <c r="B56" s="4">
        <f t="shared" si="0"/>
        <v>485</v>
      </c>
      <c r="C56" s="4" t="str">
        <f t="shared" si="1"/>
        <v>01E5</v>
      </c>
      <c r="E56" s="1" t="s">
        <v>132</v>
      </c>
      <c r="F56" s="1" t="s">
        <v>443</v>
      </c>
      <c r="G56" s="1" t="s">
        <v>114</v>
      </c>
      <c r="H56" s="1" t="s">
        <v>413</v>
      </c>
    </row>
    <row r="57" spans="1:8">
      <c r="A57" s="1">
        <v>55</v>
      </c>
      <c r="B57" s="4">
        <f t="shared" si="0"/>
        <v>486</v>
      </c>
      <c r="C57" s="4" t="str">
        <f t="shared" si="1"/>
        <v>01E6</v>
      </c>
      <c r="E57" s="1" t="s">
        <v>132</v>
      </c>
      <c r="F57" s="1" t="s">
        <v>444</v>
      </c>
      <c r="G57" s="1" t="s">
        <v>114</v>
      </c>
      <c r="H57" s="1" t="s">
        <v>413</v>
      </c>
    </row>
    <row r="58" spans="1:8">
      <c r="A58" s="1">
        <v>56</v>
      </c>
      <c r="B58" s="4">
        <f t="shared" si="0"/>
        <v>487</v>
      </c>
      <c r="C58" s="4" t="str">
        <f t="shared" si="1"/>
        <v>01E7</v>
      </c>
    </row>
    <row r="59" spans="1:8">
      <c r="A59" s="1">
        <v>57</v>
      </c>
      <c r="B59" s="4">
        <f t="shared" si="0"/>
        <v>488</v>
      </c>
      <c r="C59" s="4" t="str">
        <f t="shared" si="1"/>
        <v>01E8</v>
      </c>
    </row>
    <row r="60" spans="1:8">
      <c r="A60" s="1">
        <v>58</v>
      </c>
      <c r="B60" s="4">
        <f t="shared" si="0"/>
        <v>489</v>
      </c>
      <c r="C60" s="4" t="str">
        <f t="shared" si="1"/>
        <v>01E9</v>
      </c>
    </row>
    <row r="61" spans="1:8">
      <c r="A61" s="1">
        <v>59</v>
      </c>
      <c r="B61" s="4">
        <f t="shared" si="0"/>
        <v>490</v>
      </c>
      <c r="C61" s="4" t="str">
        <f t="shared" si="1"/>
        <v>01EA</v>
      </c>
    </row>
    <row r="62" spans="1:8">
      <c r="A62" s="1">
        <v>60</v>
      </c>
      <c r="B62" s="4">
        <f t="shared" si="0"/>
        <v>491</v>
      </c>
      <c r="C62" s="4" t="str">
        <f t="shared" si="1"/>
        <v>01EB</v>
      </c>
    </row>
    <row r="63" spans="1:8">
      <c r="A63" s="1">
        <v>61</v>
      </c>
      <c r="B63" s="4">
        <f t="shared" si="0"/>
        <v>492</v>
      </c>
      <c r="C63" s="4" t="str">
        <f t="shared" si="1"/>
        <v>01EC</v>
      </c>
    </row>
    <row r="64" spans="1:8">
      <c r="A64" s="1">
        <v>62</v>
      </c>
      <c r="B64" s="4">
        <f t="shared" si="0"/>
        <v>493</v>
      </c>
      <c r="C64" s="4" t="str">
        <f t="shared" si="1"/>
        <v>01ED</v>
      </c>
    </row>
    <row r="65" spans="1:8">
      <c r="A65" s="1">
        <v>63</v>
      </c>
      <c r="B65" s="4">
        <f t="shared" si="0"/>
        <v>494</v>
      </c>
      <c r="C65" s="4" t="str">
        <f t="shared" si="1"/>
        <v>01EE</v>
      </c>
    </row>
    <row r="66" spans="1:8">
      <c r="A66" s="1">
        <v>64</v>
      </c>
      <c r="B66" s="4">
        <f t="shared" si="0"/>
        <v>495</v>
      </c>
      <c r="C66" s="4" t="str">
        <f t="shared" si="1"/>
        <v>01EF</v>
      </c>
    </row>
    <row r="67" spans="1:8">
      <c r="A67" s="1">
        <v>65</v>
      </c>
      <c r="B67" s="4">
        <f t="shared" ref="B67:B98" si="2">$B$2+A67-1</f>
        <v>496</v>
      </c>
      <c r="C67" s="4" t="str">
        <f t="shared" ref="C67:C98" si="3">DEC2HEX(B67,4)</f>
        <v>01F0</v>
      </c>
      <c r="E67" s="1" t="s">
        <v>132</v>
      </c>
      <c r="F67" s="1" t="s">
        <v>264</v>
      </c>
      <c r="G67" s="1" t="s">
        <v>231</v>
      </c>
      <c r="H67" s="1" t="s">
        <v>232</v>
      </c>
    </row>
    <row r="68" spans="1:8">
      <c r="A68" s="1">
        <v>66</v>
      </c>
      <c r="B68" s="4">
        <f t="shared" si="2"/>
        <v>497</v>
      </c>
      <c r="C68" s="4" t="str">
        <f t="shared" si="3"/>
        <v>01F1</v>
      </c>
      <c r="E68" s="1" t="s">
        <v>132</v>
      </c>
      <c r="F68" s="1" t="s">
        <v>265</v>
      </c>
      <c r="G68" s="1" t="s">
        <v>231</v>
      </c>
      <c r="H68" s="1" t="s">
        <v>234</v>
      </c>
    </row>
    <row r="69" spans="1:8">
      <c r="A69" s="1">
        <v>67</v>
      </c>
      <c r="B69" s="4">
        <f t="shared" si="2"/>
        <v>498</v>
      </c>
      <c r="C69" s="4" t="str">
        <f t="shared" si="3"/>
        <v>01F2</v>
      </c>
      <c r="E69" s="1" t="s">
        <v>132</v>
      </c>
      <c r="F69" s="1" t="s">
        <v>266</v>
      </c>
      <c r="G69" s="1" t="s">
        <v>231</v>
      </c>
      <c r="H69" s="1" t="s">
        <v>236</v>
      </c>
    </row>
    <row r="70" spans="1:8">
      <c r="A70" s="1">
        <v>68</v>
      </c>
      <c r="B70" s="4">
        <f t="shared" si="2"/>
        <v>499</v>
      </c>
      <c r="C70" s="4" t="str">
        <f t="shared" si="3"/>
        <v>01F3</v>
      </c>
      <c r="E70" s="1" t="s">
        <v>132</v>
      </c>
      <c r="F70" s="1" t="s">
        <v>267</v>
      </c>
      <c r="G70" s="1" t="s">
        <v>231</v>
      </c>
      <c r="H70" s="1" t="s">
        <v>364</v>
      </c>
    </row>
    <row r="71" spans="1:8">
      <c r="A71" s="1">
        <v>69</v>
      </c>
      <c r="B71" s="4">
        <f t="shared" si="2"/>
        <v>500</v>
      </c>
      <c r="C71" s="4" t="str">
        <f t="shared" si="3"/>
        <v>01F4</v>
      </c>
      <c r="E71" s="1" t="s">
        <v>132</v>
      </c>
      <c r="F71" s="1" t="s">
        <v>445</v>
      </c>
      <c r="G71" s="1" t="s">
        <v>231</v>
      </c>
      <c r="H71" s="1" t="s">
        <v>364</v>
      </c>
    </row>
    <row r="72" spans="1:8">
      <c r="A72" s="1">
        <v>70</v>
      </c>
      <c r="B72" s="4">
        <f t="shared" si="2"/>
        <v>501</v>
      </c>
      <c r="C72" s="4" t="str">
        <f t="shared" si="3"/>
        <v>01F5</v>
      </c>
      <c r="E72" s="1"/>
      <c r="F72" s="1"/>
      <c r="G72" s="1"/>
      <c r="H72" s="1"/>
    </row>
    <row r="73" spans="1:8">
      <c r="A73" s="1">
        <v>71</v>
      </c>
      <c r="B73" s="4">
        <f t="shared" si="2"/>
        <v>502</v>
      </c>
      <c r="C73" s="4" t="str">
        <f t="shared" si="3"/>
        <v>01F6</v>
      </c>
      <c r="E73" s="1"/>
      <c r="F73" s="1"/>
      <c r="G73" s="1"/>
      <c r="H73" s="1"/>
    </row>
    <row r="74" spans="1:8">
      <c r="A74" s="1">
        <v>72</v>
      </c>
      <c r="B74" s="4">
        <f t="shared" si="2"/>
        <v>503</v>
      </c>
      <c r="C74" s="4" t="str">
        <f t="shared" si="3"/>
        <v>01F7</v>
      </c>
      <c r="E74" s="1" t="s">
        <v>132</v>
      </c>
      <c r="F74" s="1" t="s">
        <v>446</v>
      </c>
      <c r="G74" s="1" t="s">
        <v>114</v>
      </c>
      <c r="H74" s="1" t="s">
        <v>413</v>
      </c>
    </row>
    <row r="75" spans="1:8">
      <c r="A75" s="1">
        <v>73</v>
      </c>
      <c r="B75" s="4">
        <f t="shared" si="2"/>
        <v>504</v>
      </c>
      <c r="C75" s="4" t="str">
        <f t="shared" si="3"/>
        <v>01F8</v>
      </c>
      <c r="E75" s="1" t="s">
        <v>132</v>
      </c>
      <c r="F75" s="1" t="s">
        <v>447</v>
      </c>
      <c r="G75" s="1" t="s">
        <v>114</v>
      </c>
      <c r="H75" s="1" t="s">
        <v>413</v>
      </c>
    </row>
    <row r="76" spans="1:8">
      <c r="A76" s="1">
        <v>74</v>
      </c>
      <c r="B76" s="4">
        <f t="shared" si="2"/>
        <v>505</v>
      </c>
      <c r="C76" s="4" t="str">
        <f t="shared" si="3"/>
        <v>01F9</v>
      </c>
      <c r="E76" s="1" t="s">
        <v>132</v>
      </c>
      <c r="F76" s="1" t="s">
        <v>448</v>
      </c>
      <c r="G76" s="1" t="s">
        <v>114</v>
      </c>
      <c r="H76" s="1" t="s">
        <v>413</v>
      </c>
    </row>
    <row r="77" spans="1:8">
      <c r="A77" s="1">
        <v>75</v>
      </c>
      <c r="B77" s="4">
        <f t="shared" si="2"/>
        <v>506</v>
      </c>
      <c r="C77" s="4" t="str">
        <f t="shared" si="3"/>
        <v>01FA</v>
      </c>
      <c r="E77" s="1" t="s">
        <v>132</v>
      </c>
      <c r="F77" s="1" t="s">
        <v>449</v>
      </c>
      <c r="G77" s="1" t="s">
        <v>114</v>
      </c>
      <c r="H77" s="1" t="s">
        <v>413</v>
      </c>
    </row>
    <row r="78" spans="1:8">
      <c r="A78" s="1">
        <v>76</v>
      </c>
      <c r="B78" s="4">
        <f t="shared" si="2"/>
        <v>507</v>
      </c>
      <c r="C78" s="4" t="str">
        <f t="shared" si="3"/>
        <v>01FB</v>
      </c>
      <c r="E78" s="1" t="s">
        <v>132</v>
      </c>
      <c r="F78" s="1" t="s">
        <v>450</v>
      </c>
      <c r="G78" s="1" t="s">
        <v>114</v>
      </c>
      <c r="H78" s="1" t="s">
        <v>413</v>
      </c>
    </row>
    <row r="79" spans="1:8">
      <c r="A79" s="1">
        <v>77</v>
      </c>
      <c r="B79" s="4">
        <f t="shared" si="2"/>
        <v>508</v>
      </c>
      <c r="C79" s="4" t="str">
        <f t="shared" si="3"/>
        <v>01FC</v>
      </c>
      <c r="E79" s="1" t="s">
        <v>132</v>
      </c>
      <c r="F79" s="1" t="s">
        <v>451</v>
      </c>
      <c r="G79" s="1" t="s">
        <v>114</v>
      </c>
      <c r="H79" s="1" t="s">
        <v>413</v>
      </c>
    </row>
    <row r="80" spans="1:8">
      <c r="A80" s="1">
        <v>78</v>
      </c>
      <c r="B80" s="4">
        <f t="shared" si="2"/>
        <v>509</v>
      </c>
      <c r="C80" s="4" t="str">
        <f t="shared" si="3"/>
        <v>01FD</v>
      </c>
      <c r="E80" s="1" t="s">
        <v>132</v>
      </c>
      <c r="F80" s="1" t="s">
        <v>452</v>
      </c>
      <c r="G80" s="1" t="s">
        <v>114</v>
      </c>
      <c r="H80" s="1" t="s">
        <v>413</v>
      </c>
    </row>
    <row r="81" spans="1:8">
      <c r="A81" s="1">
        <v>79</v>
      </c>
      <c r="B81" s="4">
        <f t="shared" si="2"/>
        <v>510</v>
      </c>
      <c r="C81" s="4" t="str">
        <f t="shared" si="3"/>
        <v>01FE</v>
      </c>
      <c r="E81" s="1" t="s">
        <v>132</v>
      </c>
      <c r="F81" s="1" t="s">
        <v>453</v>
      </c>
      <c r="G81" s="1" t="s">
        <v>114</v>
      </c>
      <c r="H81" s="1" t="s">
        <v>413</v>
      </c>
    </row>
    <row r="82" spans="1:8">
      <c r="A82" s="1">
        <v>80</v>
      </c>
      <c r="B82" s="4">
        <f t="shared" si="2"/>
        <v>511</v>
      </c>
      <c r="C82" s="4" t="str">
        <f t="shared" si="3"/>
        <v>01FF</v>
      </c>
      <c r="E82" s="1" t="s">
        <v>132</v>
      </c>
      <c r="F82" s="1" t="s">
        <v>454</v>
      </c>
      <c r="G82" s="1" t="s">
        <v>114</v>
      </c>
      <c r="H82" s="1" t="s">
        <v>413</v>
      </c>
    </row>
    <row r="83" spans="1:8">
      <c r="A83" s="1">
        <v>81</v>
      </c>
      <c r="B83" s="4">
        <f t="shared" si="2"/>
        <v>512</v>
      </c>
      <c r="C83" s="4" t="str">
        <f t="shared" si="3"/>
        <v>0200</v>
      </c>
      <c r="E83" s="1" t="s">
        <v>132</v>
      </c>
      <c r="F83" s="1" t="s">
        <v>455</v>
      </c>
      <c r="G83" s="1" t="s">
        <v>114</v>
      </c>
      <c r="H83" s="1" t="s">
        <v>413</v>
      </c>
    </row>
    <row r="84" spans="1:8">
      <c r="A84" s="1">
        <v>82</v>
      </c>
      <c r="B84" s="4">
        <f t="shared" si="2"/>
        <v>513</v>
      </c>
      <c r="C84" s="4" t="str">
        <f t="shared" si="3"/>
        <v>0201</v>
      </c>
      <c r="E84" s="1" t="s">
        <v>132</v>
      </c>
      <c r="F84" s="1" t="s">
        <v>456</v>
      </c>
      <c r="G84" s="1" t="s">
        <v>114</v>
      </c>
      <c r="H84" s="1" t="s">
        <v>413</v>
      </c>
    </row>
    <row r="85" spans="1:8">
      <c r="A85" s="1">
        <v>83</v>
      </c>
      <c r="B85" s="4">
        <f t="shared" si="2"/>
        <v>514</v>
      </c>
      <c r="C85" s="4" t="str">
        <f t="shared" si="3"/>
        <v>0202</v>
      </c>
      <c r="E85" s="1" t="s">
        <v>132</v>
      </c>
      <c r="F85" s="1" t="s">
        <v>457</v>
      </c>
      <c r="G85" s="1" t="s">
        <v>114</v>
      </c>
      <c r="H85" s="1" t="s">
        <v>413</v>
      </c>
    </row>
    <row r="86" spans="1:8">
      <c r="A86" s="1">
        <v>84</v>
      </c>
      <c r="B86" s="4">
        <f t="shared" si="2"/>
        <v>515</v>
      </c>
      <c r="C86" s="4" t="str">
        <f t="shared" si="3"/>
        <v>0203</v>
      </c>
      <c r="E86" s="1" t="s">
        <v>132</v>
      </c>
      <c r="F86" s="1" t="s">
        <v>458</v>
      </c>
      <c r="G86" s="1" t="s">
        <v>114</v>
      </c>
      <c r="H86" s="1" t="s">
        <v>413</v>
      </c>
    </row>
    <row r="87" spans="1:8">
      <c r="A87" s="1">
        <v>85</v>
      </c>
      <c r="B87" s="4">
        <f t="shared" si="2"/>
        <v>516</v>
      </c>
      <c r="C87" s="4" t="str">
        <f t="shared" si="3"/>
        <v>0204</v>
      </c>
      <c r="E87" s="1" t="s">
        <v>132</v>
      </c>
      <c r="F87" s="1" t="s">
        <v>458</v>
      </c>
      <c r="G87" s="1" t="s">
        <v>114</v>
      </c>
      <c r="H87" s="1" t="s">
        <v>413</v>
      </c>
    </row>
    <row r="88" spans="1:8">
      <c r="A88" s="1">
        <v>86</v>
      </c>
      <c r="B88" s="4">
        <f t="shared" si="2"/>
        <v>517</v>
      </c>
      <c r="C88" s="4" t="str">
        <f t="shared" si="3"/>
        <v>0205</v>
      </c>
      <c r="E88" s="1" t="s">
        <v>132</v>
      </c>
      <c r="F88" s="1" t="s">
        <v>459</v>
      </c>
      <c r="G88" s="1" t="s">
        <v>114</v>
      </c>
      <c r="H88" s="1" t="s">
        <v>413</v>
      </c>
    </row>
    <row r="89" spans="1:8">
      <c r="A89" s="1">
        <v>87</v>
      </c>
      <c r="B89" s="4">
        <f t="shared" si="2"/>
        <v>518</v>
      </c>
      <c r="C89" s="4" t="str">
        <f t="shared" si="3"/>
        <v>0206</v>
      </c>
      <c r="E89" s="1" t="s">
        <v>132</v>
      </c>
      <c r="F89" s="1" t="s">
        <v>460</v>
      </c>
      <c r="G89" s="1" t="s">
        <v>114</v>
      </c>
      <c r="H89" s="1" t="s">
        <v>413</v>
      </c>
    </row>
    <row r="90" spans="1:8">
      <c r="A90" s="1">
        <v>88</v>
      </c>
      <c r="B90" s="4">
        <f t="shared" si="2"/>
        <v>519</v>
      </c>
      <c r="C90" s="4" t="str">
        <f t="shared" si="3"/>
        <v>0207</v>
      </c>
    </row>
    <row r="91" spans="1:8">
      <c r="A91" s="1">
        <v>89</v>
      </c>
      <c r="B91" s="4">
        <f t="shared" si="2"/>
        <v>520</v>
      </c>
      <c r="C91" s="4" t="str">
        <f t="shared" si="3"/>
        <v>0208</v>
      </c>
    </row>
    <row r="92" spans="1:8">
      <c r="A92" s="1">
        <v>90</v>
      </c>
      <c r="B92" s="4">
        <f t="shared" si="2"/>
        <v>521</v>
      </c>
      <c r="C92" s="4" t="str">
        <f t="shared" si="3"/>
        <v>0209</v>
      </c>
    </row>
    <row r="93" spans="1:8">
      <c r="A93" s="1">
        <v>91</v>
      </c>
      <c r="B93" s="4">
        <f t="shared" si="2"/>
        <v>522</v>
      </c>
      <c r="C93" s="4" t="str">
        <f t="shared" si="3"/>
        <v>020A</v>
      </c>
    </row>
    <row r="94" spans="1:8">
      <c r="A94" s="1">
        <v>92</v>
      </c>
      <c r="B94" s="4">
        <f t="shared" si="2"/>
        <v>523</v>
      </c>
      <c r="C94" s="4" t="str">
        <f t="shared" si="3"/>
        <v>020B</v>
      </c>
    </row>
    <row r="95" spans="1:8">
      <c r="A95" s="1">
        <v>93</v>
      </c>
      <c r="B95" s="4">
        <f t="shared" si="2"/>
        <v>524</v>
      </c>
      <c r="C95" s="4" t="str">
        <f t="shared" si="3"/>
        <v>020C</v>
      </c>
    </row>
    <row r="96" spans="1:8">
      <c r="A96" s="1">
        <v>94</v>
      </c>
      <c r="B96" s="4">
        <f t="shared" si="2"/>
        <v>525</v>
      </c>
      <c r="C96" s="4" t="str">
        <f t="shared" si="3"/>
        <v>020D</v>
      </c>
    </row>
    <row r="97" spans="1:3">
      <c r="A97" s="1">
        <v>95</v>
      </c>
      <c r="B97" s="4">
        <f t="shared" si="2"/>
        <v>526</v>
      </c>
      <c r="C97" s="4" t="str">
        <f t="shared" si="3"/>
        <v>020E</v>
      </c>
    </row>
    <row r="98" spans="1:3">
      <c r="A98" s="1">
        <v>96</v>
      </c>
      <c r="B98" s="4">
        <f t="shared" si="2"/>
        <v>527</v>
      </c>
      <c r="C98" s="4" t="str">
        <f t="shared" si="3"/>
        <v>020F</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P82"/>
  <sheetViews>
    <sheetView workbookViewId="0">
      <selection activeCell="K30" sqref="K30"/>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6" width="27.7109375" customWidth="1"/>
    <col min="7" max="7" width="18.5703125" style="23" customWidth="1"/>
    <col min="8" max="8" width="5.5703125" customWidth="1"/>
    <col min="9" max="9" width="22.85546875" customWidth="1"/>
    <col min="10" max="11" width="7.5703125" customWidth="1"/>
  </cols>
  <sheetData>
    <row r="1" spans="1:16">
      <c r="A1" s="22" t="s">
        <v>99</v>
      </c>
      <c r="B1" s="22" t="s">
        <v>100</v>
      </c>
      <c r="C1" s="22" t="s">
        <v>101</v>
      </c>
      <c r="D1" s="22" t="s">
        <v>102</v>
      </c>
      <c r="E1" s="22" t="s">
        <v>103</v>
      </c>
      <c r="F1" s="22" t="s">
        <v>104</v>
      </c>
      <c r="G1" s="22" t="s">
        <v>105</v>
      </c>
      <c r="H1" s="22" t="s">
        <v>106</v>
      </c>
      <c r="I1" s="22" t="s">
        <v>107</v>
      </c>
      <c r="J1" s="22" t="s">
        <v>108</v>
      </c>
      <c r="K1" s="22" t="s">
        <v>109</v>
      </c>
    </row>
    <row r="2" spans="1:16" s="22" customFormat="1">
      <c r="B2" s="22">
        <f>HEX2DEC(C2)</f>
        <v>528</v>
      </c>
      <c r="C2" s="22" t="s">
        <v>461</v>
      </c>
      <c r="F2" s="22" t="s">
        <v>462</v>
      </c>
      <c r="H2" s="24"/>
      <c r="I2" s="24"/>
    </row>
    <row r="3" spans="1:16" s="52" customFormat="1" ht="30">
      <c r="A3" s="52">
        <v>1</v>
      </c>
      <c r="B3" s="53">
        <f>$B$2+A3-1</f>
        <v>528</v>
      </c>
      <c r="C3" s="53" t="str">
        <f>DEC2HEX(B3,4)</f>
        <v>0210</v>
      </c>
      <c r="E3" s="50" t="s">
        <v>132</v>
      </c>
      <c r="F3" s="50" t="s">
        <v>344</v>
      </c>
      <c r="G3" s="50" t="s">
        <v>114</v>
      </c>
      <c r="H3" s="54"/>
      <c r="I3" s="54" t="s">
        <v>463</v>
      </c>
      <c r="J3" s="50"/>
      <c r="K3" s="50"/>
      <c r="L3" s="50"/>
      <c r="M3" s="50"/>
      <c r="N3" s="50"/>
      <c r="O3" s="50"/>
      <c r="P3" s="50"/>
    </row>
    <row r="4" spans="1:16" s="52" customFormat="1">
      <c r="A4" s="52">
        <v>2</v>
      </c>
      <c r="B4" s="53">
        <f t="shared" ref="B4:B34" si="0">$B$2+A4-1</f>
        <v>529</v>
      </c>
      <c r="C4" s="53" t="str">
        <f t="shared" ref="C4:C34" si="1">DEC2HEX(B4,4)</f>
        <v>0211</v>
      </c>
      <c r="E4" s="50" t="s">
        <v>132</v>
      </c>
      <c r="F4" s="50" t="s">
        <v>464</v>
      </c>
      <c r="G4" s="50" t="s">
        <v>114</v>
      </c>
      <c r="H4" s="54"/>
      <c r="I4" s="54" t="s">
        <v>465</v>
      </c>
      <c r="J4" s="50"/>
      <c r="K4" s="50"/>
      <c r="L4" s="50"/>
      <c r="M4" s="50"/>
      <c r="N4" s="50"/>
      <c r="O4" s="50"/>
      <c r="P4" s="50"/>
    </row>
    <row r="5" spans="1:16" s="22" customFormat="1">
      <c r="A5" s="22">
        <v>3</v>
      </c>
      <c r="B5" s="23">
        <f t="shared" si="0"/>
        <v>530</v>
      </c>
      <c r="C5" s="23" t="str">
        <f t="shared" si="1"/>
        <v>0212</v>
      </c>
      <c r="E5" s="1"/>
      <c r="F5" s="1"/>
      <c r="G5" s="1"/>
      <c r="H5" s="1"/>
      <c r="I5" s="9"/>
      <c r="J5" s="1"/>
      <c r="K5" s="1"/>
      <c r="L5" s="1"/>
      <c r="M5" s="1"/>
      <c r="N5" s="1"/>
      <c r="O5" s="1"/>
      <c r="P5" s="1"/>
    </row>
    <row r="6" spans="1:16" s="22" customFormat="1">
      <c r="A6" s="22">
        <v>4</v>
      </c>
      <c r="B6" s="23">
        <f t="shared" si="0"/>
        <v>531</v>
      </c>
      <c r="C6" s="23" t="str">
        <f t="shared" si="1"/>
        <v>0213</v>
      </c>
      <c r="E6" s="1"/>
      <c r="F6" s="1"/>
      <c r="G6" s="1"/>
      <c r="H6" s="1"/>
      <c r="I6" s="9"/>
      <c r="J6" s="1"/>
      <c r="K6" s="1"/>
      <c r="L6" s="1"/>
      <c r="M6" s="1"/>
      <c r="N6" s="1"/>
      <c r="O6" s="1"/>
      <c r="P6" s="1"/>
    </row>
    <row r="7" spans="1:16" s="22" customFormat="1">
      <c r="A7" s="22">
        <v>5</v>
      </c>
      <c r="B7" s="23">
        <f t="shared" si="0"/>
        <v>532</v>
      </c>
      <c r="C7" s="23" t="str">
        <f t="shared" si="1"/>
        <v>0214</v>
      </c>
      <c r="E7" s="1"/>
      <c r="F7" s="1"/>
      <c r="G7" s="1"/>
      <c r="H7" s="1"/>
      <c r="I7" s="9"/>
      <c r="J7" s="1"/>
      <c r="K7" s="1"/>
      <c r="L7" s="1"/>
      <c r="M7" s="1"/>
      <c r="N7" s="1"/>
      <c r="O7" s="1"/>
      <c r="P7" s="1"/>
    </row>
    <row r="8" spans="1:16" s="22" customFormat="1">
      <c r="A8" s="22">
        <v>6</v>
      </c>
      <c r="B8" s="23">
        <f t="shared" si="0"/>
        <v>533</v>
      </c>
      <c r="C8" s="23" t="str">
        <f t="shared" si="1"/>
        <v>0215</v>
      </c>
      <c r="E8" s="1"/>
      <c r="F8" s="1"/>
      <c r="G8" s="1"/>
      <c r="H8" s="1"/>
      <c r="I8" s="9"/>
      <c r="J8" s="1"/>
      <c r="K8" s="1"/>
      <c r="L8" s="1"/>
      <c r="M8" s="1"/>
      <c r="N8" s="1"/>
      <c r="O8" s="1"/>
      <c r="P8" s="1"/>
    </row>
    <row r="9" spans="1:16" s="22" customFormat="1">
      <c r="A9" s="22">
        <v>7</v>
      </c>
      <c r="B9" s="23">
        <f t="shared" si="0"/>
        <v>534</v>
      </c>
      <c r="C9" s="23" t="str">
        <f t="shared" si="1"/>
        <v>0216</v>
      </c>
      <c r="E9" s="1"/>
      <c r="F9" s="1"/>
      <c r="G9" s="1"/>
      <c r="H9" s="1"/>
      <c r="I9" s="9"/>
      <c r="J9" s="1"/>
      <c r="K9" s="1"/>
      <c r="L9" s="1"/>
      <c r="M9" s="1"/>
      <c r="N9" s="1"/>
      <c r="O9" s="1"/>
      <c r="P9" s="1"/>
    </row>
    <row r="10" spans="1:16" s="22" customFormat="1">
      <c r="A10" s="22">
        <v>8</v>
      </c>
      <c r="B10" s="23">
        <f t="shared" si="0"/>
        <v>535</v>
      </c>
      <c r="C10" s="23" t="str">
        <f t="shared" si="1"/>
        <v>0217</v>
      </c>
      <c r="E10" s="1"/>
      <c r="F10" s="1"/>
      <c r="G10" s="1"/>
      <c r="H10" s="1"/>
      <c r="I10" s="9"/>
      <c r="J10" s="1"/>
      <c r="K10" s="1"/>
      <c r="L10" s="1"/>
      <c r="M10" s="1"/>
      <c r="N10" s="1"/>
      <c r="O10" s="1"/>
      <c r="P10" s="1"/>
    </row>
    <row r="11" spans="1:16" s="22" customFormat="1">
      <c r="A11" s="22">
        <v>9</v>
      </c>
      <c r="B11" s="23">
        <f t="shared" si="0"/>
        <v>536</v>
      </c>
      <c r="C11" s="23" t="str">
        <f t="shared" si="1"/>
        <v>0218</v>
      </c>
      <c r="E11" s="1" t="s">
        <v>132</v>
      </c>
      <c r="F11" s="1" t="s">
        <v>466</v>
      </c>
      <c r="G11" s="1" t="s">
        <v>231</v>
      </c>
      <c r="H11" s="9" t="s">
        <v>232</v>
      </c>
      <c r="I11" s="9"/>
      <c r="J11" s="1"/>
      <c r="K11" s="1"/>
      <c r="L11" s="1"/>
      <c r="M11" s="1"/>
      <c r="N11" s="1"/>
      <c r="O11" s="1"/>
      <c r="P11" s="1"/>
    </row>
    <row r="12" spans="1:16" s="22" customFormat="1">
      <c r="A12" s="22">
        <v>10</v>
      </c>
      <c r="B12" s="23">
        <f t="shared" si="0"/>
        <v>537</v>
      </c>
      <c r="C12" s="23" t="str">
        <f t="shared" si="1"/>
        <v>0219</v>
      </c>
      <c r="E12" s="1" t="s">
        <v>132</v>
      </c>
      <c r="F12" s="1" t="s">
        <v>467</v>
      </c>
      <c r="G12" s="1" t="s">
        <v>231</v>
      </c>
      <c r="H12" s="9" t="s">
        <v>236</v>
      </c>
      <c r="I12" s="9"/>
      <c r="J12" s="1"/>
      <c r="K12" s="1"/>
      <c r="L12" s="1"/>
      <c r="M12" s="1"/>
      <c r="N12" s="1"/>
      <c r="O12" s="1"/>
      <c r="P12" s="1"/>
    </row>
    <row r="13" spans="1:16" s="22" customFormat="1">
      <c r="A13" s="22">
        <v>11</v>
      </c>
      <c r="B13" s="23">
        <f t="shared" si="0"/>
        <v>538</v>
      </c>
      <c r="C13" s="23" t="str">
        <f t="shared" si="1"/>
        <v>021A</v>
      </c>
      <c r="E13" s="1" t="s">
        <v>132</v>
      </c>
      <c r="F13" s="1" t="s">
        <v>468</v>
      </c>
      <c r="G13" s="1" t="s">
        <v>231</v>
      </c>
      <c r="H13" s="9" t="s">
        <v>234</v>
      </c>
      <c r="I13" s="9"/>
      <c r="J13" s="1"/>
      <c r="K13" s="1"/>
      <c r="L13" s="1"/>
      <c r="M13" s="1"/>
      <c r="N13" s="1"/>
      <c r="O13" s="1"/>
      <c r="P13" s="1"/>
    </row>
    <row r="14" spans="1:16" s="22" customFormat="1">
      <c r="A14" s="22">
        <v>12</v>
      </c>
      <c r="B14" s="23">
        <f t="shared" si="0"/>
        <v>539</v>
      </c>
      <c r="C14" s="23" t="str">
        <f t="shared" si="1"/>
        <v>021B</v>
      </c>
      <c r="E14" s="1" t="s">
        <v>132</v>
      </c>
      <c r="F14" s="1" t="s">
        <v>469</v>
      </c>
      <c r="G14" s="1" t="s">
        <v>231</v>
      </c>
      <c r="H14" s="9" t="s">
        <v>234</v>
      </c>
      <c r="I14" s="9" t="s">
        <v>123</v>
      </c>
      <c r="J14" s="1"/>
      <c r="K14" s="1"/>
      <c r="L14" s="1"/>
      <c r="M14" s="1"/>
      <c r="N14" s="1"/>
      <c r="O14" s="1"/>
      <c r="P14" s="1"/>
    </row>
    <row r="15" spans="1:16" s="22" customFormat="1">
      <c r="A15" s="22">
        <v>13</v>
      </c>
      <c r="B15" s="23">
        <f t="shared" si="0"/>
        <v>540</v>
      </c>
      <c r="C15" s="23" t="str">
        <f t="shared" si="1"/>
        <v>021C</v>
      </c>
      <c r="E15" s="1" t="s">
        <v>132</v>
      </c>
      <c r="F15" s="1" t="s">
        <v>470</v>
      </c>
      <c r="G15" s="1" t="s">
        <v>231</v>
      </c>
      <c r="H15" s="9" t="s">
        <v>238</v>
      </c>
      <c r="I15" s="9"/>
      <c r="J15" s="1"/>
      <c r="K15" s="1"/>
      <c r="L15" s="1"/>
      <c r="M15" s="1"/>
      <c r="N15" s="1"/>
      <c r="O15" s="1"/>
      <c r="P15" s="1"/>
    </row>
    <row r="16" spans="1:16" s="22" customFormat="1">
      <c r="A16" s="22">
        <v>14</v>
      </c>
      <c r="B16" s="23">
        <f t="shared" si="0"/>
        <v>541</v>
      </c>
      <c r="C16" s="23" t="str">
        <f t="shared" si="1"/>
        <v>021D</v>
      </c>
      <c r="E16" s="1" t="s">
        <v>132</v>
      </c>
      <c r="F16" s="1" t="s">
        <v>471</v>
      </c>
      <c r="G16" s="1" t="s">
        <v>231</v>
      </c>
      <c r="H16" s="9" t="s">
        <v>238</v>
      </c>
      <c r="I16" s="9"/>
      <c r="J16" s="1"/>
      <c r="K16" s="1"/>
      <c r="L16" s="1"/>
      <c r="M16" s="1"/>
      <c r="N16" s="1"/>
      <c r="O16" s="1"/>
      <c r="P16" s="1"/>
    </row>
    <row r="17" spans="1:16" s="22" customFormat="1">
      <c r="A17" s="22">
        <v>15</v>
      </c>
      <c r="B17" s="23">
        <f t="shared" si="0"/>
        <v>542</v>
      </c>
      <c r="C17" s="23" t="str">
        <f t="shared" si="1"/>
        <v>021E</v>
      </c>
      <c r="E17" s="1"/>
      <c r="F17" s="1"/>
      <c r="G17" s="1"/>
      <c r="H17" s="9"/>
      <c r="I17" s="9"/>
      <c r="J17" s="1"/>
      <c r="K17" s="1"/>
      <c r="L17" s="1"/>
      <c r="M17" s="1"/>
      <c r="N17" s="1"/>
      <c r="O17" s="1"/>
      <c r="P17" s="1"/>
    </row>
    <row r="18" spans="1:16">
      <c r="A18" s="22">
        <v>16</v>
      </c>
      <c r="B18" s="23">
        <f t="shared" si="0"/>
        <v>543</v>
      </c>
      <c r="C18" s="23" t="str">
        <f t="shared" si="1"/>
        <v>021F</v>
      </c>
      <c r="E18" s="1"/>
      <c r="F18" s="1"/>
      <c r="G18" s="1"/>
      <c r="H18" s="9"/>
      <c r="I18" s="3"/>
      <c r="J18" s="3"/>
      <c r="K18" s="3"/>
      <c r="L18" s="3"/>
      <c r="M18" s="3"/>
      <c r="N18" s="3"/>
      <c r="O18" s="3"/>
      <c r="P18" s="3"/>
    </row>
    <row r="19" spans="1:16">
      <c r="A19" s="22">
        <v>17</v>
      </c>
      <c r="B19" s="23">
        <f t="shared" si="0"/>
        <v>544</v>
      </c>
      <c r="C19" s="23" t="str">
        <f t="shared" si="1"/>
        <v>0220</v>
      </c>
      <c r="E19" s="1" t="s">
        <v>132</v>
      </c>
      <c r="F19" s="1" t="s">
        <v>248</v>
      </c>
      <c r="G19" s="1" t="s">
        <v>231</v>
      </c>
      <c r="H19" s="9" t="s">
        <v>249</v>
      </c>
      <c r="I19" s="3"/>
      <c r="J19" s="3"/>
      <c r="K19" s="3"/>
      <c r="L19" s="3"/>
      <c r="M19" s="3"/>
      <c r="N19" s="3"/>
      <c r="O19" s="3"/>
      <c r="P19" s="3"/>
    </row>
    <row r="20" spans="1:16">
      <c r="A20" s="22">
        <v>18</v>
      </c>
      <c r="B20" s="23">
        <f t="shared" si="0"/>
        <v>545</v>
      </c>
      <c r="C20" s="23" t="str">
        <f t="shared" si="1"/>
        <v>0221</v>
      </c>
      <c r="E20" s="1" t="s">
        <v>132</v>
      </c>
      <c r="F20" s="1" t="s">
        <v>472</v>
      </c>
      <c r="G20" s="1" t="s">
        <v>114</v>
      </c>
      <c r="H20" s="9" t="s">
        <v>413</v>
      </c>
      <c r="I20" s="3"/>
      <c r="J20" s="3"/>
      <c r="K20" s="3"/>
      <c r="L20" s="3"/>
      <c r="M20" s="3"/>
      <c r="N20" s="3"/>
      <c r="O20" s="3"/>
      <c r="P20" s="3"/>
    </row>
    <row r="21" spans="1:16">
      <c r="A21" s="22">
        <v>19</v>
      </c>
      <c r="B21" s="23">
        <f t="shared" si="0"/>
        <v>546</v>
      </c>
      <c r="C21" s="23" t="str">
        <f t="shared" si="1"/>
        <v>0222</v>
      </c>
      <c r="E21" s="1" t="s">
        <v>132</v>
      </c>
      <c r="F21" s="1" t="s">
        <v>473</v>
      </c>
      <c r="G21" s="1" t="s">
        <v>114</v>
      </c>
      <c r="H21" s="9" t="s">
        <v>413</v>
      </c>
      <c r="I21" s="3"/>
      <c r="J21" s="3"/>
      <c r="K21" s="3"/>
      <c r="L21" s="3"/>
      <c r="M21" s="3"/>
      <c r="N21" s="3"/>
      <c r="O21" s="3"/>
      <c r="P21" s="3"/>
    </row>
    <row r="22" spans="1:16">
      <c r="A22" s="22">
        <v>20</v>
      </c>
      <c r="B22" s="23">
        <f t="shared" si="0"/>
        <v>547</v>
      </c>
      <c r="C22" s="23" t="str">
        <f t="shared" si="1"/>
        <v>0223</v>
      </c>
      <c r="E22" s="1" t="s">
        <v>132</v>
      </c>
      <c r="F22" s="1" t="s">
        <v>474</v>
      </c>
      <c r="G22" s="1" t="s">
        <v>114</v>
      </c>
      <c r="H22" s="9" t="s">
        <v>413</v>
      </c>
      <c r="I22" s="3"/>
      <c r="J22" s="3"/>
      <c r="K22" s="3"/>
      <c r="L22" s="3"/>
      <c r="M22" s="3"/>
      <c r="N22" s="3"/>
      <c r="O22" s="3"/>
      <c r="P22" s="3"/>
    </row>
    <row r="23" spans="1:16">
      <c r="A23" s="22">
        <v>21</v>
      </c>
      <c r="B23" s="23">
        <f t="shared" si="0"/>
        <v>548</v>
      </c>
      <c r="C23" s="23" t="str">
        <f t="shared" si="1"/>
        <v>0224</v>
      </c>
      <c r="E23" s="1" t="s">
        <v>132</v>
      </c>
      <c r="F23" s="1" t="s">
        <v>475</v>
      </c>
      <c r="G23" s="1" t="s">
        <v>114</v>
      </c>
      <c r="H23" s="9" t="s">
        <v>413</v>
      </c>
      <c r="I23" s="3"/>
      <c r="J23" s="3"/>
      <c r="K23" s="3"/>
      <c r="L23" s="3"/>
      <c r="M23" s="3"/>
      <c r="N23" s="3"/>
      <c r="O23" s="3"/>
      <c r="P23" s="3"/>
    </row>
    <row r="24" spans="1:16">
      <c r="A24" s="22">
        <v>22</v>
      </c>
      <c r="B24" s="23">
        <f t="shared" si="0"/>
        <v>549</v>
      </c>
      <c r="C24" s="23" t="str">
        <f t="shared" si="1"/>
        <v>0225</v>
      </c>
      <c r="E24" s="1" t="s">
        <v>132</v>
      </c>
      <c r="F24" s="1" t="s">
        <v>476</v>
      </c>
      <c r="G24" s="1" t="s">
        <v>114</v>
      </c>
      <c r="H24" s="9" t="s">
        <v>413</v>
      </c>
      <c r="I24" s="3"/>
      <c r="J24" s="3"/>
      <c r="K24" s="3"/>
      <c r="L24" s="3"/>
      <c r="M24" s="3"/>
      <c r="N24" s="3"/>
      <c r="O24" s="3"/>
      <c r="P24" s="3"/>
    </row>
    <row r="25" spans="1:16">
      <c r="A25" s="22">
        <v>23</v>
      </c>
      <c r="B25" s="23">
        <f t="shared" si="0"/>
        <v>550</v>
      </c>
      <c r="C25" s="23" t="str">
        <f t="shared" si="1"/>
        <v>0226</v>
      </c>
      <c r="E25" s="1" t="s">
        <v>132</v>
      </c>
      <c r="F25" s="1" t="s">
        <v>477</v>
      </c>
      <c r="G25" s="1" t="s">
        <v>114</v>
      </c>
      <c r="H25" s="9" t="s">
        <v>413</v>
      </c>
      <c r="I25" s="3"/>
      <c r="J25" s="3"/>
      <c r="K25" s="3"/>
      <c r="L25" s="3"/>
      <c r="M25" s="3"/>
      <c r="N25" s="3"/>
      <c r="O25" s="3"/>
      <c r="P25" s="3"/>
    </row>
    <row r="26" spans="1:16">
      <c r="A26" s="22">
        <v>24</v>
      </c>
      <c r="B26" s="23">
        <f t="shared" si="0"/>
        <v>551</v>
      </c>
      <c r="C26" s="23" t="str">
        <f t="shared" si="1"/>
        <v>0227</v>
      </c>
      <c r="E26" s="1" t="s">
        <v>132</v>
      </c>
      <c r="F26" s="1" t="s">
        <v>478</v>
      </c>
      <c r="G26" s="1" t="s">
        <v>114</v>
      </c>
      <c r="H26" s="9" t="s">
        <v>413</v>
      </c>
      <c r="I26" s="3"/>
      <c r="J26" s="3"/>
      <c r="K26" s="3"/>
      <c r="L26" s="3"/>
      <c r="M26" s="3"/>
      <c r="N26" s="3"/>
      <c r="O26" s="3"/>
      <c r="P26" s="3"/>
    </row>
    <row r="27" spans="1:16">
      <c r="A27" s="22">
        <v>25</v>
      </c>
      <c r="B27" s="23">
        <f t="shared" si="0"/>
        <v>552</v>
      </c>
      <c r="C27" s="23" t="str">
        <f t="shared" si="1"/>
        <v>0228</v>
      </c>
      <c r="E27" s="1" t="s">
        <v>132</v>
      </c>
      <c r="F27" s="1" t="s">
        <v>479</v>
      </c>
      <c r="G27" s="1" t="s">
        <v>114</v>
      </c>
      <c r="H27" s="9" t="s">
        <v>413</v>
      </c>
      <c r="I27" s="3"/>
      <c r="J27" s="3"/>
      <c r="K27" s="3"/>
      <c r="L27" s="3"/>
      <c r="M27" s="3"/>
      <c r="N27" s="3"/>
      <c r="O27" s="3"/>
      <c r="P27" s="3"/>
    </row>
    <row r="28" spans="1:16">
      <c r="A28" s="22">
        <v>26</v>
      </c>
      <c r="B28" s="23">
        <f t="shared" si="0"/>
        <v>553</v>
      </c>
      <c r="C28" s="23" t="str">
        <f t="shared" si="1"/>
        <v>0229</v>
      </c>
      <c r="E28" s="1"/>
      <c r="F28" s="3"/>
      <c r="G28" s="4"/>
      <c r="H28" s="3"/>
      <c r="I28" s="3"/>
      <c r="J28" s="3"/>
      <c r="K28" s="3"/>
      <c r="L28" s="3"/>
      <c r="M28" s="3"/>
      <c r="N28" s="3"/>
      <c r="O28" s="3"/>
      <c r="P28" s="3"/>
    </row>
    <row r="29" spans="1:16">
      <c r="A29" s="22">
        <v>27</v>
      </c>
      <c r="B29" s="23">
        <f t="shared" si="0"/>
        <v>554</v>
      </c>
      <c r="C29" s="23" t="str">
        <f t="shared" si="1"/>
        <v>022A</v>
      </c>
      <c r="E29" s="1"/>
      <c r="F29" s="3"/>
      <c r="G29" s="4"/>
      <c r="H29" s="3"/>
      <c r="I29" s="3"/>
      <c r="J29" s="3"/>
      <c r="K29" s="3"/>
      <c r="L29" s="3"/>
      <c r="M29" s="3"/>
      <c r="N29" s="3"/>
      <c r="O29" s="3"/>
      <c r="P29" s="3"/>
    </row>
    <row r="30" spans="1:16">
      <c r="A30" s="22">
        <v>28</v>
      </c>
      <c r="B30" s="23">
        <f t="shared" si="0"/>
        <v>555</v>
      </c>
      <c r="C30" s="23" t="str">
        <f t="shared" si="1"/>
        <v>022B</v>
      </c>
      <c r="E30" s="1"/>
      <c r="F30" s="3"/>
      <c r="G30" s="4"/>
      <c r="H30" s="3"/>
      <c r="I30" s="3"/>
      <c r="J30" s="3"/>
      <c r="K30" s="3"/>
      <c r="L30" s="3"/>
      <c r="M30" s="3"/>
      <c r="N30" s="3"/>
      <c r="O30" s="3"/>
      <c r="P30" s="3"/>
    </row>
    <row r="31" spans="1:16">
      <c r="A31" s="22">
        <v>29</v>
      </c>
      <c r="B31" s="23">
        <f t="shared" si="0"/>
        <v>556</v>
      </c>
      <c r="C31" s="23" t="str">
        <f t="shared" si="1"/>
        <v>022C</v>
      </c>
      <c r="E31" s="1"/>
      <c r="F31" s="3"/>
      <c r="G31" s="4"/>
      <c r="H31" s="3"/>
      <c r="I31" s="3"/>
      <c r="J31" s="3"/>
      <c r="K31" s="3"/>
      <c r="L31" s="3"/>
      <c r="M31" s="3"/>
      <c r="N31" s="3"/>
      <c r="O31" s="3"/>
      <c r="P31" s="3"/>
    </row>
    <row r="32" spans="1:16">
      <c r="A32" s="22">
        <v>30</v>
      </c>
      <c r="B32" s="23">
        <f t="shared" si="0"/>
        <v>557</v>
      </c>
      <c r="C32" s="23" t="str">
        <f t="shared" si="1"/>
        <v>022D</v>
      </c>
      <c r="E32" s="1"/>
      <c r="F32" s="3"/>
      <c r="G32" s="4"/>
      <c r="H32" s="3"/>
      <c r="I32" s="3"/>
      <c r="J32" s="3"/>
      <c r="K32" s="3"/>
      <c r="L32" s="3"/>
      <c r="M32" s="3"/>
      <c r="N32" s="3"/>
      <c r="O32" s="3"/>
      <c r="P32" s="3"/>
    </row>
    <row r="33" spans="1:16">
      <c r="A33" s="22">
        <v>31</v>
      </c>
      <c r="B33" s="23">
        <f t="shared" si="0"/>
        <v>558</v>
      </c>
      <c r="C33" s="23" t="str">
        <f t="shared" si="1"/>
        <v>022E</v>
      </c>
      <c r="E33" s="1"/>
      <c r="F33" s="3"/>
      <c r="G33" s="4"/>
      <c r="H33" s="3"/>
      <c r="I33" s="3"/>
      <c r="J33" s="3"/>
      <c r="K33" s="3"/>
      <c r="L33" s="3"/>
      <c r="M33" s="3"/>
      <c r="N33" s="3"/>
      <c r="O33" s="3"/>
      <c r="P33" s="3"/>
    </row>
    <row r="34" spans="1:16">
      <c r="A34" s="22">
        <v>32</v>
      </c>
      <c r="B34" s="23">
        <f t="shared" si="0"/>
        <v>559</v>
      </c>
      <c r="C34" s="23" t="str">
        <f t="shared" si="1"/>
        <v>022F</v>
      </c>
      <c r="E34" s="1"/>
      <c r="F34" s="3"/>
      <c r="G34" s="4"/>
      <c r="H34" s="3"/>
      <c r="I34" s="3"/>
      <c r="J34" s="3"/>
      <c r="K34" s="3"/>
      <c r="L34" s="3"/>
      <c r="M34" s="3"/>
      <c r="N34" s="3"/>
      <c r="O34" s="3"/>
      <c r="P34" s="3"/>
    </row>
    <row r="35" spans="1:16">
      <c r="A35" s="22">
        <v>33</v>
      </c>
      <c r="B35" s="23">
        <f t="shared" ref="B35:B66" si="2">$B$2+A35-1</f>
        <v>560</v>
      </c>
      <c r="C35" s="23" t="str">
        <f t="shared" ref="C35:C66" si="3">DEC2HEX(B35,4)</f>
        <v>0230</v>
      </c>
      <c r="E35" s="1" t="s">
        <v>132</v>
      </c>
      <c r="F35" s="1" t="s">
        <v>480</v>
      </c>
      <c r="G35" s="1" t="s">
        <v>231</v>
      </c>
      <c r="H35" s="9" t="s">
        <v>232</v>
      </c>
      <c r="I35" s="3"/>
      <c r="J35" s="3"/>
      <c r="K35" s="3"/>
      <c r="L35" s="3"/>
      <c r="M35" s="3"/>
      <c r="N35" s="3"/>
      <c r="O35" s="3"/>
      <c r="P35" s="3"/>
    </row>
    <row r="36" spans="1:16">
      <c r="A36" s="22">
        <v>34</v>
      </c>
      <c r="B36" s="23">
        <f t="shared" si="2"/>
        <v>561</v>
      </c>
      <c r="C36" s="23" t="str">
        <f t="shared" si="3"/>
        <v>0231</v>
      </c>
      <c r="E36" s="1" t="s">
        <v>132</v>
      </c>
      <c r="F36" s="1" t="s">
        <v>481</v>
      </c>
      <c r="G36" s="1" t="s">
        <v>231</v>
      </c>
      <c r="H36" s="9" t="s">
        <v>236</v>
      </c>
      <c r="I36" s="3"/>
      <c r="J36" s="3"/>
      <c r="K36" s="3"/>
      <c r="L36" s="3"/>
      <c r="M36" s="3"/>
      <c r="N36" s="3"/>
      <c r="O36" s="3"/>
      <c r="P36" s="3"/>
    </row>
    <row r="37" spans="1:16">
      <c r="A37" s="22">
        <v>35</v>
      </c>
      <c r="B37" s="23">
        <f t="shared" si="2"/>
        <v>562</v>
      </c>
      <c r="C37" s="23" t="str">
        <f t="shared" si="3"/>
        <v>0232</v>
      </c>
      <c r="E37" s="1" t="s">
        <v>132</v>
      </c>
      <c r="F37" s="1" t="s">
        <v>482</v>
      </c>
      <c r="G37" s="1" t="s">
        <v>231</v>
      </c>
      <c r="H37" s="9" t="s">
        <v>234</v>
      </c>
      <c r="I37" s="3"/>
      <c r="J37" s="3"/>
      <c r="K37" s="3"/>
      <c r="L37" s="3"/>
      <c r="M37" s="3"/>
      <c r="N37" s="3"/>
      <c r="O37" s="3"/>
      <c r="P37" s="3"/>
    </row>
    <row r="38" spans="1:16">
      <c r="A38" s="22">
        <v>36</v>
      </c>
      <c r="B38" s="23">
        <f t="shared" si="2"/>
        <v>563</v>
      </c>
      <c r="C38" s="23" t="str">
        <f t="shared" si="3"/>
        <v>0233</v>
      </c>
      <c r="E38" s="1" t="s">
        <v>132</v>
      </c>
      <c r="F38" s="1" t="s">
        <v>483</v>
      </c>
      <c r="G38" s="1" t="s">
        <v>231</v>
      </c>
      <c r="H38" s="9" t="s">
        <v>234</v>
      </c>
      <c r="I38" s="3"/>
      <c r="J38" s="3"/>
      <c r="K38" s="3"/>
      <c r="L38" s="3"/>
      <c r="M38" s="3"/>
      <c r="N38" s="3"/>
      <c r="O38" s="3"/>
      <c r="P38" s="3"/>
    </row>
    <row r="39" spans="1:16">
      <c r="A39" s="22">
        <v>37</v>
      </c>
      <c r="B39" s="23">
        <f t="shared" si="2"/>
        <v>564</v>
      </c>
      <c r="C39" s="23" t="str">
        <f t="shared" si="3"/>
        <v>0234</v>
      </c>
      <c r="E39" s="1" t="s">
        <v>132</v>
      </c>
      <c r="F39" s="1" t="s">
        <v>484</v>
      </c>
      <c r="G39" s="1" t="s">
        <v>231</v>
      </c>
      <c r="H39" s="9" t="s">
        <v>238</v>
      </c>
      <c r="I39" s="3"/>
      <c r="J39" s="3"/>
      <c r="K39" s="3"/>
      <c r="L39" s="3"/>
      <c r="M39" s="3"/>
      <c r="N39" s="3"/>
      <c r="O39" s="3"/>
      <c r="P39" s="3"/>
    </row>
    <row r="40" spans="1:16">
      <c r="A40" s="22">
        <v>38</v>
      </c>
      <c r="B40" s="23">
        <f t="shared" si="2"/>
        <v>565</v>
      </c>
      <c r="C40" s="23" t="str">
        <f t="shared" si="3"/>
        <v>0235</v>
      </c>
      <c r="E40" s="1" t="s">
        <v>132</v>
      </c>
      <c r="F40" s="1" t="s">
        <v>485</v>
      </c>
      <c r="G40" s="1" t="s">
        <v>231</v>
      </c>
      <c r="H40" s="9" t="s">
        <v>238</v>
      </c>
      <c r="I40" s="3"/>
      <c r="J40" s="3"/>
      <c r="K40" s="3"/>
      <c r="L40" s="3"/>
      <c r="M40" s="3"/>
      <c r="N40" s="3"/>
      <c r="O40" s="3"/>
      <c r="P40" s="3"/>
    </row>
    <row r="41" spans="1:16">
      <c r="A41" s="22">
        <v>39</v>
      </c>
      <c r="B41" s="23">
        <f t="shared" si="2"/>
        <v>566</v>
      </c>
      <c r="C41" s="23" t="str">
        <f t="shared" si="3"/>
        <v>0236</v>
      </c>
      <c r="E41" s="1"/>
      <c r="F41" s="1"/>
      <c r="G41" s="1"/>
      <c r="H41" s="9"/>
      <c r="I41" s="3"/>
      <c r="J41" s="3"/>
      <c r="K41" s="3"/>
      <c r="L41" s="3"/>
      <c r="M41" s="3"/>
      <c r="N41" s="3"/>
      <c r="O41" s="3"/>
      <c r="P41" s="3"/>
    </row>
    <row r="42" spans="1:16">
      <c r="A42" s="22">
        <v>40</v>
      </c>
      <c r="B42" s="23">
        <f t="shared" si="2"/>
        <v>567</v>
      </c>
      <c r="C42" s="23" t="str">
        <f t="shared" si="3"/>
        <v>0237</v>
      </c>
      <c r="E42" s="1"/>
      <c r="F42" s="1"/>
      <c r="G42" s="1"/>
      <c r="H42" s="9"/>
      <c r="I42" s="3"/>
      <c r="J42" s="3"/>
      <c r="K42" s="3"/>
      <c r="L42" s="3"/>
      <c r="M42" s="3"/>
      <c r="N42" s="3"/>
      <c r="O42" s="3"/>
      <c r="P42" s="3"/>
    </row>
    <row r="43" spans="1:16">
      <c r="A43" s="22">
        <v>41</v>
      </c>
      <c r="B43" s="23">
        <f t="shared" si="2"/>
        <v>568</v>
      </c>
      <c r="C43" s="23" t="str">
        <f t="shared" si="3"/>
        <v>0238</v>
      </c>
      <c r="E43" s="1" t="s">
        <v>132</v>
      </c>
      <c r="F43" s="1" t="s">
        <v>263</v>
      </c>
      <c r="G43" s="1" t="s">
        <v>231</v>
      </c>
      <c r="H43" s="9" t="s">
        <v>249</v>
      </c>
      <c r="I43" s="3"/>
      <c r="J43" s="3"/>
      <c r="K43" s="3"/>
      <c r="L43" s="3"/>
      <c r="M43" s="3"/>
      <c r="N43" s="3"/>
      <c r="O43" s="3"/>
      <c r="P43" s="3"/>
    </row>
    <row r="44" spans="1:16">
      <c r="A44" s="22">
        <v>42</v>
      </c>
      <c r="B44" s="23">
        <f t="shared" si="2"/>
        <v>569</v>
      </c>
      <c r="C44" s="23" t="str">
        <f t="shared" si="3"/>
        <v>0239</v>
      </c>
      <c r="E44" s="1" t="s">
        <v>132</v>
      </c>
      <c r="F44" s="1" t="s">
        <v>486</v>
      </c>
      <c r="G44" s="1" t="s">
        <v>114</v>
      </c>
      <c r="H44" s="9" t="s">
        <v>413</v>
      </c>
      <c r="I44" s="3"/>
      <c r="J44" s="3"/>
      <c r="K44" s="3"/>
      <c r="L44" s="3"/>
      <c r="M44" s="3"/>
      <c r="N44" s="3"/>
      <c r="O44" s="3"/>
      <c r="P44" s="3"/>
    </row>
    <row r="45" spans="1:16">
      <c r="A45" s="22">
        <v>43</v>
      </c>
      <c r="B45" s="23">
        <f t="shared" si="2"/>
        <v>570</v>
      </c>
      <c r="C45" s="23" t="str">
        <f t="shared" si="3"/>
        <v>023A</v>
      </c>
      <c r="E45" s="1" t="s">
        <v>132</v>
      </c>
      <c r="F45" s="1" t="s">
        <v>487</v>
      </c>
      <c r="G45" s="1" t="s">
        <v>114</v>
      </c>
      <c r="H45" s="9" t="s">
        <v>413</v>
      </c>
      <c r="I45" s="3"/>
      <c r="J45" s="3"/>
      <c r="K45" s="3"/>
      <c r="L45" s="3"/>
      <c r="M45" s="3"/>
      <c r="N45" s="3"/>
      <c r="O45" s="3"/>
      <c r="P45" s="3"/>
    </row>
    <row r="46" spans="1:16">
      <c r="A46" s="22">
        <v>44</v>
      </c>
      <c r="B46" s="23">
        <f t="shared" si="2"/>
        <v>571</v>
      </c>
      <c r="C46" s="23" t="str">
        <f t="shared" si="3"/>
        <v>023B</v>
      </c>
      <c r="E46" s="1" t="s">
        <v>132</v>
      </c>
      <c r="F46" s="1" t="s">
        <v>488</v>
      </c>
      <c r="G46" s="1" t="s">
        <v>114</v>
      </c>
      <c r="H46" s="9" t="s">
        <v>413</v>
      </c>
      <c r="I46" s="3"/>
      <c r="J46" s="3"/>
      <c r="K46" s="3"/>
      <c r="L46" s="3"/>
      <c r="M46" s="3"/>
      <c r="N46" s="3"/>
      <c r="O46" s="3"/>
      <c r="P46" s="3"/>
    </row>
    <row r="47" spans="1:16">
      <c r="A47" s="22">
        <v>45</v>
      </c>
      <c r="B47" s="23">
        <f t="shared" si="2"/>
        <v>572</v>
      </c>
      <c r="C47" s="23" t="str">
        <f t="shared" si="3"/>
        <v>023C</v>
      </c>
      <c r="E47" s="1" t="s">
        <v>132</v>
      </c>
      <c r="F47" s="1" t="s">
        <v>489</v>
      </c>
      <c r="G47" s="1" t="s">
        <v>114</v>
      </c>
      <c r="H47" s="9" t="s">
        <v>413</v>
      </c>
      <c r="I47" s="3"/>
      <c r="J47" s="3"/>
      <c r="K47" s="3"/>
      <c r="L47" s="3"/>
      <c r="M47" s="3"/>
      <c r="N47" s="3"/>
      <c r="O47" s="3"/>
      <c r="P47" s="3"/>
    </row>
    <row r="48" spans="1:16">
      <c r="A48" s="22">
        <v>46</v>
      </c>
      <c r="B48" s="23">
        <f t="shared" si="2"/>
        <v>573</v>
      </c>
      <c r="C48" s="23" t="str">
        <f t="shared" si="3"/>
        <v>023D</v>
      </c>
      <c r="E48" s="1" t="s">
        <v>132</v>
      </c>
      <c r="F48" s="1" t="s">
        <v>490</v>
      </c>
      <c r="G48" s="1" t="s">
        <v>114</v>
      </c>
      <c r="H48" s="9" t="s">
        <v>413</v>
      </c>
      <c r="I48" s="3"/>
      <c r="J48" s="3"/>
      <c r="K48" s="3"/>
      <c r="L48" s="3"/>
      <c r="M48" s="3"/>
      <c r="N48" s="3"/>
      <c r="O48" s="3"/>
      <c r="P48" s="3"/>
    </row>
    <row r="49" spans="1:16">
      <c r="A49" s="22">
        <v>47</v>
      </c>
      <c r="B49" s="23">
        <f t="shared" si="2"/>
        <v>574</v>
      </c>
      <c r="C49" s="23" t="str">
        <f t="shared" si="3"/>
        <v>023E</v>
      </c>
      <c r="E49" s="1" t="s">
        <v>132</v>
      </c>
      <c r="F49" s="1" t="s">
        <v>491</v>
      </c>
      <c r="G49" s="1" t="s">
        <v>114</v>
      </c>
      <c r="H49" s="9" t="s">
        <v>413</v>
      </c>
      <c r="I49" s="3"/>
      <c r="J49" s="3"/>
      <c r="K49" s="3"/>
      <c r="L49" s="3"/>
      <c r="M49" s="3"/>
      <c r="N49" s="3"/>
      <c r="O49" s="3"/>
      <c r="P49" s="3"/>
    </row>
    <row r="50" spans="1:16">
      <c r="A50" s="22">
        <v>48</v>
      </c>
      <c r="B50" s="23">
        <f t="shared" si="2"/>
        <v>575</v>
      </c>
      <c r="C50" s="23" t="str">
        <f t="shared" si="3"/>
        <v>023F</v>
      </c>
      <c r="E50" s="1" t="s">
        <v>132</v>
      </c>
      <c r="F50" s="1" t="s">
        <v>492</v>
      </c>
      <c r="G50" s="1" t="s">
        <v>114</v>
      </c>
      <c r="H50" s="9" t="s">
        <v>413</v>
      </c>
      <c r="I50" s="3"/>
      <c r="J50" s="3"/>
      <c r="K50" s="3"/>
      <c r="L50" s="3"/>
      <c r="M50" s="3"/>
      <c r="N50" s="3"/>
      <c r="O50" s="3"/>
      <c r="P50" s="3"/>
    </row>
    <row r="51" spans="1:16">
      <c r="A51" s="22">
        <v>49</v>
      </c>
      <c r="B51" s="23">
        <f t="shared" si="2"/>
        <v>576</v>
      </c>
      <c r="C51" s="23" t="str">
        <f t="shared" si="3"/>
        <v>0240</v>
      </c>
      <c r="E51" s="1" t="s">
        <v>132</v>
      </c>
      <c r="F51" s="1" t="s">
        <v>493</v>
      </c>
      <c r="G51" s="1" t="s">
        <v>114</v>
      </c>
      <c r="H51" s="9" t="s">
        <v>413</v>
      </c>
      <c r="I51" s="3"/>
      <c r="J51" s="3"/>
      <c r="K51" s="3"/>
      <c r="L51" s="3"/>
      <c r="M51" s="3"/>
      <c r="N51" s="3"/>
      <c r="O51" s="3"/>
      <c r="P51" s="3"/>
    </row>
    <row r="52" spans="1:16">
      <c r="A52" s="22">
        <v>50</v>
      </c>
      <c r="B52" s="23">
        <f t="shared" si="2"/>
        <v>577</v>
      </c>
      <c r="C52" s="23" t="str">
        <f t="shared" si="3"/>
        <v>0241</v>
      </c>
      <c r="E52" s="1"/>
      <c r="F52" s="3"/>
      <c r="G52" s="4"/>
      <c r="H52" s="3"/>
      <c r="I52" s="3"/>
      <c r="J52" s="3"/>
      <c r="K52" s="3"/>
      <c r="L52" s="3"/>
      <c r="M52" s="3"/>
      <c r="N52" s="3"/>
      <c r="O52" s="3"/>
      <c r="P52" s="3"/>
    </row>
    <row r="53" spans="1:16">
      <c r="A53" s="22">
        <v>51</v>
      </c>
      <c r="B53" s="23">
        <f t="shared" si="2"/>
        <v>578</v>
      </c>
      <c r="C53" s="23" t="str">
        <f t="shared" si="3"/>
        <v>0242</v>
      </c>
      <c r="E53" s="1"/>
      <c r="F53" s="3"/>
      <c r="G53" s="4"/>
      <c r="H53" s="3"/>
      <c r="I53" s="3"/>
      <c r="J53" s="3"/>
      <c r="K53" s="3"/>
      <c r="L53" s="3"/>
      <c r="M53" s="3"/>
      <c r="N53" s="3"/>
      <c r="O53" s="3"/>
      <c r="P53" s="3"/>
    </row>
    <row r="54" spans="1:16">
      <c r="A54" s="22">
        <v>52</v>
      </c>
      <c r="B54" s="23">
        <f t="shared" si="2"/>
        <v>579</v>
      </c>
      <c r="C54" s="23" t="str">
        <f t="shared" si="3"/>
        <v>0243</v>
      </c>
      <c r="E54" s="1"/>
      <c r="F54" s="3"/>
      <c r="G54" s="4"/>
      <c r="H54" s="3"/>
      <c r="I54" s="3"/>
      <c r="J54" s="3"/>
      <c r="K54" s="3"/>
      <c r="L54" s="3"/>
      <c r="M54" s="3"/>
      <c r="N54" s="3"/>
      <c r="O54" s="3"/>
      <c r="P54" s="3"/>
    </row>
    <row r="55" spans="1:16">
      <c r="A55" s="22">
        <v>53</v>
      </c>
      <c r="B55" s="23">
        <f t="shared" si="2"/>
        <v>580</v>
      </c>
      <c r="C55" s="23" t="str">
        <f t="shared" si="3"/>
        <v>0244</v>
      </c>
      <c r="E55" s="1"/>
      <c r="F55" s="3"/>
      <c r="G55" s="4"/>
      <c r="H55" s="3"/>
      <c r="I55" s="3"/>
      <c r="J55" s="3"/>
      <c r="K55" s="3"/>
      <c r="L55" s="3"/>
      <c r="M55" s="3"/>
      <c r="N55" s="3"/>
      <c r="O55" s="3"/>
      <c r="P55" s="3"/>
    </row>
    <row r="56" spans="1:16">
      <c r="A56" s="22">
        <v>54</v>
      </c>
      <c r="B56" s="23">
        <f t="shared" si="2"/>
        <v>581</v>
      </c>
      <c r="C56" s="23" t="str">
        <f t="shared" si="3"/>
        <v>0245</v>
      </c>
      <c r="E56" s="1"/>
      <c r="F56" s="3"/>
      <c r="G56" s="4"/>
      <c r="H56" s="3"/>
      <c r="I56" s="3"/>
      <c r="J56" s="3"/>
      <c r="K56" s="3"/>
      <c r="L56" s="3"/>
      <c r="M56" s="3"/>
      <c r="N56" s="3"/>
      <c r="O56" s="3"/>
      <c r="P56" s="3"/>
    </row>
    <row r="57" spans="1:16">
      <c r="A57" s="22">
        <v>55</v>
      </c>
      <c r="B57" s="23">
        <f t="shared" si="2"/>
        <v>582</v>
      </c>
      <c r="C57" s="23" t="str">
        <f t="shared" si="3"/>
        <v>0246</v>
      </c>
      <c r="E57" s="1"/>
      <c r="F57" s="3"/>
      <c r="G57" s="4"/>
      <c r="H57" s="3"/>
      <c r="I57" s="3"/>
      <c r="J57" s="3"/>
      <c r="K57" s="3"/>
      <c r="L57" s="3"/>
      <c r="M57" s="3"/>
      <c r="N57" s="3"/>
      <c r="O57" s="3"/>
      <c r="P57" s="3"/>
    </row>
    <row r="58" spans="1:16">
      <c r="A58" s="22">
        <v>56</v>
      </c>
      <c r="B58" s="23">
        <f t="shared" si="2"/>
        <v>583</v>
      </c>
      <c r="C58" s="23" t="str">
        <f t="shared" si="3"/>
        <v>0247</v>
      </c>
      <c r="E58" s="1"/>
      <c r="F58" s="3"/>
      <c r="G58" s="4"/>
      <c r="H58" s="3"/>
      <c r="I58" s="3"/>
      <c r="J58" s="3"/>
      <c r="K58" s="3"/>
      <c r="L58" s="3"/>
      <c r="M58" s="3"/>
      <c r="N58" s="3"/>
      <c r="O58" s="3"/>
      <c r="P58" s="3"/>
    </row>
    <row r="59" spans="1:16">
      <c r="A59" s="22">
        <v>57</v>
      </c>
      <c r="B59" s="23">
        <f t="shared" si="2"/>
        <v>584</v>
      </c>
      <c r="C59" s="23" t="str">
        <f t="shared" si="3"/>
        <v>0248</v>
      </c>
      <c r="E59" s="1" t="s">
        <v>132</v>
      </c>
      <c r="F59" s="1" t="s">
        <v>494</v>
      </c>
      <c r="G59" s="1" t="s">
        <v>231</v>
      </c>
      <c r="H59" s="9" t="s">
        <v>232</v>
      </c>
      <c r="I59" s="3"/>
      <c r="J59" s="3"/>
      <c r="K59" s="3"/>
      <c r="L59" s="3"/>
      <c r="M59" s="3"/>
      <c r="N59" s="3"/>
      <c r="O59" s="3"/>
      <c r="P59" s="3"/>
    </row>
    <row r="60" spans="1:16">
      <c r="A60" s="22">
        <v>58</v>
      </c>
      <c r="B60" s="23">
        <f t="shared" si="2"/>
        <v>585</v>
      </c>
      <c r="C60" s="23" t="str">
        <f t="shared" si="3"/>
        <v>0249</v>
      </c>
      <c r="E60" s="1" t="s">
        <v>132</v>
      </c>
      <c r="F60" s="1" t="s">
        <v>495</v>
      </c>
      <c r="G60" s="1" t="s">
        <v>231</v>
      </c>
      <c r="H60" s="9" t="s">
        <v>236</v>
      </c>
      <c r="I60" s="3"/>
      <c r="J60" s="3"/>
      <c r="K60" s="3"/>
      <c r="L60" s="3"/>
      <c r="M60" s="3"/>
      <c r="N60" s="3"/>
      <c r="O60" s="3"/>
      <c r="P60" s="3"/>
    </row>
    <row r="61" spans="1:16">
      <c r="A61" s="22">
        <v>59</v>
      </c>
      <c r="B61" s="23">
        <f t="shared" si="2"/>
        <v>586</v>
      </c>
      <c r="C61" s="23" t="str">
        <f t="shared" si="3"/>
        <v>024A</v>
      </c>
      <c r="E61" s="1" t="s">
        <v>132</v>
      </c>
      <c r="F61" s="1" t="s">
        <v>496</v>
      </c>
      <c r="G61" s="1" t="s">
        <v>231</v>
      </c>
      <c r="H61" s="9" t="s">
        <v>234</v>
      </c>
      <c r="I61" s="3"/>
      <c r="J61" s="3"/>
      <c r="K61" s="3"/>
      <c r="L61" s="3"/>
      <c r="M61" s="3"/>
      <c r="N61" s="3"/>
      <c r="O61" s="3"/>
      <c r="P61" s="3"/>
    </row>
    <row r="62" spans="1:16">
      <c r="A62" s="22">
        <v>60</v>
      </c>
      <c r="B62" s="23">
        <f t="shared" si="2"/>
        <v>587</v>
      </c>
      <c r="C62" s="23" t="str">
        <f t="shared" si="3"/>
        <v>024B</v>
      </c>
      <c r="E62" s="1" t="s">
        <v>132</v>
      </c>
      <c r="F62" s="1" t="s">
        <v>497</v>
      </c>
      <c r="G62" s="1" t="s">
        <v>231</v>
      </c>
      <c r="H62" s="9" t="s">
        <v>234</v>
      </c>
      <c r="I62" s="3"/>
      <c r="J62" s="3"/>
      <c r="K62" s="3"/>
      <c r="L62" s="3"/>
      <c r="M62" s="3"/>
      <c r="N62" s="3"/>
      <c r="O62" s="3"/>
      <c r="P62" s="3"/>
    </row>
    <row r="63" spans="1:16">
      <c r="A63" s="22">
        <v>61</v>
      </c>
      <c r="B63" s="23">
        <f t="shared" si="2"/>
        <v>588</v>
      </c>
      <c r="C63" s="23" t="str">
        <f t="shared" si="3"/>
        <v>024C</v>
      </c>
      <c r="E63" s="1" t="s">
        <v>132</v>
      </c>
      <c r="F63" s="1" t="s">
        <v>498</v>
      </c>
      <c r="G63" s="1" t="s">
        <v>231</v>
      </c>
      <c r="H63" s="9" t="s">
        <v>238</v>
      </c>
      <c r="I63" s="3"/>
      <c r="J63" s="3"/>
      <c r="K63" s="3"/>
      <c r="L63" s="3"/>
      <c r="M63" s="3"/>
      <c r="N63" s="3"/>
      <c r="O63" s="3"/>
      <c r="P63" s="3"/>
    </row>
    <row r="64" spans="1:16">
      <c r="A64" s="22">
        <v>62</v>
      </c>
      <c r="B64" s="23">
        <f t="shared" si="2"/>
        <v>589</v>
      </c>
      <c r="C64" s="23" t="str">
        <f t="shared" si="3"/>
        <v>024D</v>
      </c>
      <c r="E64" s="1" t="s">
        <v>132</v>
      </c>
      <c r="F64" s="1" t="s">
        <v>499</v>
      </c>
      <c r="G64" s="1" t="s">
        <v>231</v>
      </c>
      <c r="H64" s="9" t="s">
        <v>238</v>
      </c>
      <c r="I64" s="3"/>
      <c r="J64" s="3"/>
      <c r="K64" s="3"/>
      <c r="L64" s="3"/>
      <c r="M64" s="3"/>
      <c r="N64" s="3"/>
      <c r="O64" s="3"/>
      <c r="P64" s="3"/>
    </row>
    <row r="65" spans="1:16">
      <c r="A65" s="22">
        <v>63</v>
      </c>
      <c r="B65" s="23">
        <f t="shared" si="2"/>
        <v>590</v>
      </c>
      <c r="C65" s="23" t="str">
        <f t="shared" si="3"/>
        <v>024E</v>
      </c>
      <c r="E65" s="1"/>
      <c r="F65" s="1"/>
      <c r="G65" s="1"/>
      <c r="H65" s="9"/>
      <c r="I65" s="3"/>
      <c r="J65" s="3"/>
      <c r="K65" s="3"/>
      <c r="L65" s="3"/>
      <c r="M65" s="3"/>
      <c r="N65" s="3"/>
      <c r="O65" s="3"/>
      <c r="P65" s="3"/>
    </row>
    <row r="66" spans="1:16">
      <c r="A66" s="22">
        <v>64</v>
      </c>
      <c r="B66" s="23">
        <f t="shared" si="2"/>
        <v>591</v>
      </c>
      <c r="C66" s="23" t="str">
        <f t="shared" si="3"/>
        <v>024F</v>
      </c>
      <c r="E66" s="1"/>
      <c r="F66" s="1"/>
      <c r="G66" s="1"/>
      <c r="H66" s="9"/>
      <c r="I66" s="3"/>
      <c r="J66" s="3"/>
      <c r="K66" s="3"/>
      <c r="L66" s="3"/>
      <c r="M66" s="3"/>
      <c r="N66" s="3"/>
      <c r="O66" s="3"/>
      <c r="P66" s="3"/>
    </row>
    <row r="67" spans="1:16">
      <c r="A67" s="22">
        <v>65</v>
      </c>
      <c r="B67" s="23">
        <f t="shared" ref="B67:B82" si="4">$B$2+A67-1</f>
        <v>592</v>
      </c>
      <c r="C67" s="23" t="str">
        <f t="shared" ref="C67:C82" si="5">DEC2HEX(B67,4)</f>
        <v>0250</v>
      </c>
      <c r="E67" s="1" t="s">
        <v>132</v>
      </c>
      <c r="F67" s="1" t="s">
        <v>277</v>
      </c>
      <c r="G67" s="1" t="s">
        <v>231</v>
      </c>
      <c r="H67" s="9" t="s">
        <v>249</v>
      </c>
      <c r="I67" s="3"/>
      <c r="J67" s="3"/>
      <c r="K67" s="3"/>
      <c r="L67" s="3"/>
      <c r="M67" s="3"/>
      <c r="N67" s="3"/>
      <c r="O67" s="3"/>
      <c r="P67" s="3"/>
    </row>
    <row r="68" spans="1:16">
      <c r="A68" s="22">
        <v>66</v>
      </c>
      <c r="B68" s="23">
        <f t="shared" si="4"/>
        <v>593</v>
      </c>
      <c r="C68" s="23" t="str">
        <f t="shared" si="5"/>
        <v>0251</v>
      </c>
      <c r="E68" s="1" t="s">
        <v>132</v>
      </c>
      <c r="F68" s="1" t="s">
        <v>500</v>
      </c>
      <c r="G68" s="1" t="s">
        <v>114</v>
      </c>
      <c r="H68" s="9" t="s">
        <v>413</v>
      </c>
      <c r="I68" s="3"/>
      <c r="J68" s="3"/>
      <c r="K68" s="3"/>
      <c r="L68" s="3"/>
      <c r="M68" s="3"/>
      <c r="N68" s="3"/>
      <c r="O68" s="3"/>
      <c r="P68" s="3"/>
    </row>
    <row r="69" spans="1:16">
      <c r="A69" s="22">
        <v>67</v>
      </c>
      <c r="B69" s="23">
        <f t="shared" si="4"/>
        <v>594</v>
      </c>
      <c r="C69" s="23" t="str">
        <f t="shared" si="5"/>
        <v>0252</v>
      </c>
      <c r="E69" s="1" t="s">
        <v>132</v>
      </c>
      <c r="F69" s="1" t="s">
        <v>501</v>
      </c>
      <c r="G69" s="1" t="s">
        <v>114</v>
      </c>
      <c r="H69" s="9" t="s">
        <v>413</v>
      </c>
      <c r="I69" s="3"/>
      <c r="J69" s="3"/>
      <c r="K69" s="3"/>
      <c r="L69" s="3"/>
      <c r="M69" s="3"/>
      <c r="N69" s="3"/>
      <c r="O69" s="3"/>
      <c r="P69" s="3"/>
    </row>
    <row r="70" spans="1:16">
      <c r="A70" s="22">
        <v>68</v>
      </c>
      <c r="B70" s="23">
        <f t="shared" si="4"/>
        <v>595</v>
      </c>
      <c r="C70" s="23" t="str">
        <f t="shared" si="5"/>
        <v>0253</v>
      </c>
      <c r="E70" s="1" t="s">
        <v>132</v>
      </c>
      <c r="F70" s="1" t="s">
        <v>502</v>
      </c>
      <c r="G70" s="1" t="s">
        <v>114</v>
      </c>
      <c r="H70" s="9" t="s">
        <v>413</v>
      </c>
      <c r="I70" s="3"/>
      <c r="J70" s="3"/>
      <c r="K70" s="3"/>
      <c r="L70" s="3"/>
      <c r="M70" s="3"/>
      <c r="N70" s="3"/>
      <c r="O70" s="3"/>
      <c r="P70" s="3"/>
    </row>
    <row r="71" spans="1:16">
      <c r="A71" s="22">
        <v>69</v>
      </c>
      <c r="B71" s="23">
        <f t="shared" si="4"/>
        <v>596</v>
      </c>
      <c r="C71" s="23" t="str">
        <f t="shared" si="5"/>
        <v>0254</v>
      </c>
      <c r="E71" s="1" t="s">
        <v>132</v>
      </c>
      <c r="F71" s="1" t="s">
        <v>503</v>
      </c>
      <c r="G71" s="1" t="s">
        <v>114</v>
      </c>
      <c r="H71" s="9" t="s">
        <v>413</v>
      </c>
      <c r="I71" s="3"/>
      <c r="J71" s="3"/>
      <c r="K71" s="3"/>
      <c r="L71" s="3"/>
      <c r="M71" s="3"/>
      <c r="N71" s="3"/>
      <c r="O71" s="3"/>
      <c r="P71" s="3"/>
    </row>
    <row r="72" spans="1:16">
      <c r="A72" s="22">
        <v>70</v>
      </c>
      <c r="B72" s="23">
        <f t="shared" si="4"/>
        <v>597</v>
      </c>
      <c r="C72" s="23" t="str">
        <f t="shared" si="5"/>
        <v>0255</v>
      </c>
      <c r="E72" s="1" t="s">
        <v>132</v>
      </c>
      <c r="F72" s="1" t="s">
        <v>504</v>
      </c>
      <c r="G72" s="1" t="s">
        <v>114</v>
      </c>
      <c r="H72" s="9" t="s">
        <v>413</v>
      </c>
      <c r="I72" s="3"/>
      <c r="J72" s="3"/>
      <c r="K72" s="3"/>
      <c r="L72" s="3"/>
      <c r="M72" s="3"/>
      <c r="N72" s="3"/>
      <c r="O72" s="3"/>
      <c r="P72" s="3"/>
    </row>
    <row r="73" spans="1:16">
      <c r="A73" s="22">
        <v>71</v>
      </c>
      <c r="B73" s="23">
        <f t="shared" si="4"/>
        <v>598</v>
      </c>
      <c r="C73" s="23" t="str">
        <f t="shared" si="5"/>
        <v>0256</v>
      </c>
      <c r="E73" s="1" t="s">
        <v>132</v>
      </c>
      <c r="F73" s="1" t="s">
        <v>505</v>
      </c>
      <c r="G73" s="1" t="s">
        <v>114</v>
      </c>
      <c r="H73" s="9" t="s">
        <v>413</v>
      </c>
      <c r="I73" s="3"/>
      <c r="J73" s="3"/>
      <c r="K73" s="3"/>
      <c r="L73" s="3"/>
      <c r="M73" s="3"/>
      <c r="N73" s="3"/>
      <c r="O73" s="3"/>
      <c r="P73" s="3"/>
    </row>
    <row r="74" spans="1:16">
      <c r="A74" s="22">
        <v>72</v>
      </c>
      <c r="B74" s="23">
        <f t="shared" si="4"/>
        <v>599</v>
      </c>
      <c r="C74" s="23" t="str">
        <f t="shared" si="5"/>
        <v>0257</v>
      </c>
      <c r="E74" s="1" t="s">
        <v>132</v>
      </c>
      <c r="F74" s="1" t="s">
        <v>506</v>
      </c>
      <c r="G74" s="1" t="s">
        <v>114</v>
      </c>
      <c r="H74" s="9" t="s">
        <v>413</v>
      </c>
      <c r="I74" s="3"/>
      <c r="J74" s="3"/>
      <c r="K74" s="3"/>
      <c r="L74" s="3"/>
      <c r="M74" s="3"/>
      <c r="N74" s="3"/>
      <c r="O74" s="3"/>
      <c r="P74" s="3"/>
    </row>
    <row r="75" spans="1:16">
      <c r="A75" s="22">
        <v>73</v>
      </c>
      <c r="B75" s="23">
        <f t="shared" si="4"/>
        <v>600</v>
      </c>
      <c r="C75" s="23" t="str">
        <f t="shared" si="5"/>
        <v>0258</v>
      </c>
      <c r="E75" s="1" t="s">
        <v>132</v>
      </c>
      <c r="F75" s="1" t="s">
        <v>507</v>
      </c>
      <c r="G75" s="1" t="s">
        <v>114</v>
      </c>
      <c r="H75" s="9" t="s">
        <v>413</v>
      </c>
      <c r="I75" s="3"/>
      <c r="J75" s="3"/>
      <c r="K75" s="3"/>
      <c r="L75" s="3"/>
      <c r="M75" s="3"/>
      <c r="N75" s="3"/>
      <c r="O75" s="3"/>
      <c r="P75" s="3"/>
    </row>
    <row r="76" spans="1:16">
      <c r="A76" s="22">
        <v>74</v>
      </c>
      <c r="B76" s="23">
        <f t="shared" si="4"/>
        <v>601</v>
      </c>
      <c r="C76" s="23" t="str">
        <f t="shared" si="5"/>
        <v>0259</v>
      </c>
      <c r="E76" s="1"/>
      <c r="F76" s="3"/>
    </row>
    <row r="77" spans="1:16">
      <c r="A77" s="22">
        <v>75</v>
      </c>
      <c r="B77" s="23">
        <f t="shared" si="4"/>
        <v>602</v>
      </c>
      <c r="C77" s="23" t="str">
        <f t="shared" si="5"/>
        <v>025A</v>
      </c>
      <c r="E77" s="1"/>
      <c r="F77" s="3"/>
    </row>
    <row r="78" spans="1:16">
      <c r="A78" s="22">
        <v>76</v>
      </c>
      <c r="B78" s="23">
        <f t="shared" si="4"/>
        <v>603</v>
      </c>
      <c r="C78" s="23" t="str">
        <f t="shared" si="5"/>
        <v>025B</v>
      </c>
      <c r="E78" s="1"/>
      <c r="F78" s="3"/>
    </row>
    <row r="79" spans="1:16">
      <c r="A79" s="22">
        <v>77</v>
      </c>
      <c r="B79" s="23">
        <f t="shared" si="4"/>
        <v>604</v>
      </c>
      <c r="C79" s="23" t="str">
        <f t="shared" si="5"/>
        <v>025C</v>
      </c>
      <c r="E79" s="1"/>
      <c r="F79" s="3"/>
    </row>
    <row r="80" spans="1:16">
      <c r="A80" s="22">
        <v>78</v>
      </c>
      <c r="B80" s="23">
        <f t="shared" si="4"/>
        <v>605</v>
      </c>
      <c r="C80" s="23" t="str">
        <f t="shared" si="5"/>
        <v>025D</v>
      </c>
      <c r="E80" s="1"/>
      <c r="F80" s="3"/>
    </row>
    <row r="81" spans="1:6">
      <c r="A81" s="22">
        <v>79</v>
      </c>
      <c r="B81" s="23">
        <f t="shared" si="4"/>
        <v>606</v>
      </c>
      <c r="C81" s="23" t="str">
        <f t="shared" si="5"/>
        <v>025E</v>
      </c>
      <c r="E81" s="1"/>
      <c r="F81" s="3"/>
    </row>
    <row r="82" spans="1:6">
      <c r="A82" s="22">
        <v>80</v>
      </c>
      <c r="B82" s="23">
        <f t="shared" si="4"/>
        <v>607</v>
      </c>
      <c r="C82" s="23" t="str">
        <f t="shared" si="5"/>
        <v>025F</v>
      </c>
      <c r="E82" s="1"/>
      <c r="F82"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66"/>
  <sheetViews>
    <sheetView topLeftCell="A39" zoomScale="130" zoomScaleNormal="130" workbookViewId="0">
      <selection activeCell="L47" sqref="L47"/>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7.28515625" customWidth="1"/>
    <col min="8" max="8" width="5.5703125" style="3" customWidth="1"/>
    <col min="9" max="9" width="5.5703125" customWidth="1"/>
    <col min="10" max="11" width="7.5703125" customWidth="1"/>
  </cols>
  <sheetData>
    <row r="1" spans="1:12">
      <c r="A1" s="22" t="s">
        <v>99</v>
      </c>
      <c r="B1" s="22" t="s">
        <v>100</v>
      </c>
      <c r="C1" s="22" t="s">
        <v>101</v>
      </c>
      <c r="D1" s="22" t="s">
        <v>102</v>
      </c>
      <c r="E1" s="22" t="s">
        <v>103</v>
      </c>
      <c r="F1" s="22" t="s">
        <v>104</v>
      </c>
      <c r="G1" s="22" t="s">
        <v>105</v>
      </c>
      <c r="H1" s="1" t="s">
        <v>106</v>
      </c>
      <c r="I1" s="22" t="s">
        <v>107</v>
      </c>
      <c r="J1" s="22" t="s">
        <v>108</v>
      </c>
      <c r="K1" s="22" t="s">
        <v>109</v>
      </c>
    </row>
    <row r="2" spans="1:12">
      <c r="A2" s="22"/>
      <c r="B2" s="22">
        <f>HEX2DEC(C2)</f>
        <v>608</v>
      </c>
      <c r="C2" s="22" t="s">
        <v>508</v>
      </c>
      <c r="D2" s="22"/>
      <c r="E2" s="22"/>
      <c r="F2" s="22" t="s">
        <v>509</v>
      </c>
      <c r="G2" s="22"/>
    </row>
    <row r="3" spans="1:12">
      <c r="A3" s="22">
        <v>1</v>
      </c>
      <c r="B3" s="23">
        <f>$B$2+A3-1</f>
        <v>608</v>
      </c>
      <c r="C3" s="23" t="str">
        <f>DEC2HEX(B3,4)</f>
        <v>0260</v>
      </c>
      <c r="D3" s="22"/>
      <c r="E3" s="22" t="s">
        <v>132</v>
      </c>
      <c r="F3" s="22" t="s">
        <v>510</v>
      </c>
      <c r="G3" s="22" t="s">
        <v>231</v>
      </c>
      <c r="H3" s="3" t="s">
        <v>232</v>
      </c>
    </row>
    <row r="4" spans="1:12">
      <c r="A4" s="22">
        <v>2</v>
      </c>
      <c r="B4" s="23">
        <f t="shared" ref="B4:B10" si="0">$B$2+A4-1</f>
        <v>609</v>
      </c>
      <c r="C4" s="23" t="str">
        <f t="shared" ref="C4:C10" si="1">DEC2HEX(B4,4)</f>
        <v>0261</v>
      </c>
      <c r="D4" s="22"/>
      <c r="E4" s="22" t="s">
        <v>132</v>
      </c>
      <c r="F4" s="22" t="s">
        <v>511</v>
      </c>
      <c r="G4" s="22" t="s">
        <v>231</v>
      </c>
      <c r="H4" s="3" t="s">
        <v>234</v>
      </c>
    </row>
    <row r="5" spans="1:12">
      <c r="A5" s="22">
        <v>3</v>
      </c>
      <c r="B5" s="23">
        <f t="shared" si="0"/>
        <v>610</v>
      </c>
      <c r="C5" s="23" t="str">
        <f t="shared" si="1"/>
        <v>0262</v>
      </c>
      <c r="D5" s="22"/>
      <c r="E5" s="22" t="s">
        <v>132</v>
      </c>
      <c r="F5" s="22" t="s">
        <v>512</v>
      </c>
      <c r="G5" s="22" t="s">
        <v>231</v>
      </c>
      <c r="H5" s="3" t="s">
        <v>234</v>
      </c>
    </row>
    <row r="6" spans="1:12">
      <c r="A6" s="22">
        <v>4</v>
      </c>
      <c r="B6" s="23">
        <f t="shared" si="0"/>
        <v>611</v>
      </c>
      <c r="C6" s="23" t="str">
        <f t="shared" si="1"/>
        <v>0263</v>
      </c>
      <c r="D6" s="22"/>
      <c r="E6" s="22" t="s">
        <v>132</v>
      </c>
      <c r="F6" s="22" t="s">
        <v>513</v>
      </c>
      <c r="G6" s="22" t="s">
        <v>231</v>
      </c>
      <c r="H6" s="3" t="s">
        <v>238</v>
      </c>
    </row>
    <row r="7" spans="1:12">
      <c r="A7" s="22">
        <v>5</v>
      </c>
      <c r="B7" s="23">
        <f t="shared" si="0"/>
        <v>612</v>
      </c>
      <c r="C7" s="23" t="str">
        <f t="shared" si="1"/>
        <v>0264</v>
      </c>
      <c r="D7" s="22"/>
      <c r="E7" s="22" t="s">
        <v>132</v>
      </c>
      <c r="F7" s="22" t="s">
        <v>514</v>
      </c>
      <c r="G7" s="22" t="s">
        <v>231</v>
      </c>
      <c r="H7" s="3" t="s">
        <v>238</v>
      </c>
    </row>
    <row r="8" spans="1:12">
      <c r="A8" s="22">
        <v>6</v>
      </c>
      <c r="B8" s="23">
        <f t="shared" si="0"/>
        <v>613</v>
      </c>
      <c r="C8" s="23" t="str">
        <f t="shared" si="1"/>
        <v>0265</v>
      </c>
      <c r="D8" s="22"/>
      <c r="E8" s="22" t="s">
        <v>132</v>
      </c>
      <c r="F8" s="22" t="s">
        <v>515</v>
      </c>
      <c r="G8" s="22" t="s">
        <v>231</v>
      </c>
    </row>
    <row r="9" spans="1:12">
      <c r="A9" s="22">
        <v>7</v>
      </c>
      <c r="B9" s="23">
        <f t="shared" si="0"/>
        <v>614</v>
      </c>
      <c r="C9" s="23" t="str">
        <f t="shared" si="1"/>
        <v>0266</v>
      </c>
      <c r="D9" s="22"/>
      <c r="E9" s="22" t="s">
        <v>132</v>
      </c>
      <c r="F9" s="22" t="s">
        <v>516</v>
      </c>
      <c r="G9" s="22" t="s">
        <v>231</v>
      </c>
    </row>
    <row r="10" spans="1:12">
      <c r="A10" s="22">
        <v>8</v>
      </c>
      <c r="B10" s="23">
        <f t="shared" si="0"/>
        <v>615</v>
      </c>
      <c r="C10" s="23" t="str">
        <f t="shared" si="1"/>
        <v>0267</v>
      </c>
      <c r="D10" s="22"/>
      <c r="E10" s="22" t="s">
        <v>132</v>
      </c>
      <c r="F10" s="22" t="s">
        <v>517</v>
      </c>
      <c r="G10" s="22" t="s">
        <v>114</v>
      </c>
      <c r="H10" s="49" t="s">
        <v>413</v>
      </c>
    </row>
    <row r="11" spans="1:12">
      <c r="A11" s="22">
        <v>9</v>
      </c>
      <c r="B11" s="23">
        <f t="shared" ref="B11:B18" si="2">$B$2+A11-1</f>
        <v>616</v>
      </c>
      <c r="C11" s="23" t="str">
        <f t="shared" ref="C11:C18" si="3">DEC2HEX(B11,4)</f>
        <v>0268</v>
      </c>
      <c r="D11" s="1"/>
      <c r="E11" s="1" t="s">
        <v>132</v>
      </c>
      <c r="F11" s="1" t="s">
        <v>518</v>
      </c>
      <c r="G11" s="1" t="s">
        <v>114</v>
      </c>
      <c r="H11" s="49" t="s">
        <v>413</v>
      </c>
      <c r="I11" s="3"/>
      <c r="J11" s="3"/>
      <c r="K11" s="3"/>
      <c r="L11" s="3"/>
    </row>
    <row r="12" spans="1:12">
      <c r="A12" s="22">
        <v>10</v>
      </c>
      <c r="B12" s="23">
        <f t="shared" si="2"/>
        <v>617</v>
      </c>
      <c r="C12" s="23" t="str">
        <f t="shared" si="3"/>
        <v>0269</v>
      </c>
      <c r="D12" s="3"/>
      <c r="E12" s="1" t="s">
        <v>132</v>
      </c>
      <c r="F12" s="1" t="s">
        <v>517</v>
      </c>
      <c r="G12" s="1" t="s">
        <v>114</v>
      </c>
      <c r="H12" s="49" t="s">
        <v>413</v>
      </c>
      <c r="I12" s="3"/>
      <c r="J12" s="3"/>
      <c r="K12" s="3"/>
      <c r="L12" s="3"/>
    </row>
    <row r="13" spans="1:12">
      <c r="A13" s="22">
        <v>11</v>
      </c>
      <c r="B13" s="23">
        <f t="shared" si="2"/>
        <v>618</v>
      </c>
      <c r="C13" s="23" t="str">
        <f t="shared" si="3"/>
        <v>026A</v>
      </c>
      <c r="D13" s="3"/>
      <c r="E13" s="1" t="s">
        <v>132</v>
      </c>
      <c r="F13" s="1" t="s">
        <v>518</v>
      </c>
      <c r="G13" s="1" t="s">
        <v>114</v>
      </c>
      <c r="H13" s="49" t="s">
        <v>413</v>
      </c>
      <c r="I13" s="3"/>
      <c r="J13" s="3"/>
      <c r="K13" s="3"/>
      <c r="L13" s="3"/>
    </row>
    <row r="14" spans="1:12">
      <c r="A14" s="22">
        <v>12</v>
      </c>
      <c r="B14" s="23">
        <f t="shared" si="2"/>
        <v>619</v>
      </c>
      <c r="C14" s="23" t="str">
        <f t="shared" si="3"/>
        <v>026B</v>
      </c>
      <c r="D14" s="3"/>
      <c r="E14" s="1" t="s">
        <v>132</v>
      </c>
      <c r="F14" s="1" t="s">
        <v>517</v>
      </c>
      <c r="G14" s="1" t="s">
        <v>114</v>
      </c>
      <c r="H14" s="49" t="s">
        <v>413</v>
      </c>
      <c r="I14" s="3"/>
      <c r="J14" s="3"/>
      <c r="K14" s="3"/>
      <c r="L14" s="3"/>
    </row>
    <row r="15" spans="1:12">
      <c r="A15" s="22">
        <v>13</v>
      </c>
      <c r="B15" s="23">
        <f t="shared" si="2"/>
        <v>620</v>
      </c>
      <c r="C15" s="23" t="str">
        <f t="shared" si="3"/>
        <v>026C</v>
      </c>
      <c r="D15" s="3"/>
      <c r="E15" s="1" t="s">
        <v>132</v>
      </c>
      <c r="F15" s="1" t="s">
        <v>518</v>
      </c>
      <c r="G15" s="1" t="s">
        <v>114</v>
      </c>
      <c r="H15" s="49" t="s">
        <v>413</v>
      </c>
      <c r="I15" s="3"/>
      <c r="J15" s="3"/>
      <c r="K15" s="3"/>
      <c r="L15" s="3"/>
    </row>
    <row r="16" spans="1:12">
      <c r="A16" s="22">
        <v>14</v>
      </c>
      <c r="B16" s="23">
        <f t="shared" si="2"/>
        <v>621</v>
      </c>
      <c r="C16" s="23" t="str">
        <f t="shared" si="3"/>
        <v>026D</v>
      </c>
      <c r="D16" s="3"/>
      <c r="E16" s="1" t="s">
        <v>132</v>
      </c>
      <c r="F16" s="1" t="s">
        <v>517</v>
      </c>
      <c r="G16" s="1" t="s">
        <v>114</v>
      </c>
      <c r="H16" s="49" t="s">
        <v>413</v>
      </c>
      <c r="I16" s="3"/>
      <c r="J16" s="3"/>
      <c r="K16" s="3"/>
      <c r="L16" s="3"/>
    </row>
    <row r="17" spans="1:12">
      <c r="A17" s="22">
        <v>15</v>
      </c>
      <c r="B17" s="23">
        <f t="shared" si="2"/>
        <v>622</v>
      </c>
      <c r="C17" s="23" t="str">
        <f t="shared" si="3"/>
        <v>026E</v>
      </c>
      <c r="D17" s="3"/>
      <c r="E17" s="1" t="s">
        <v>132</v>
      </c>
      <c r="F17" s="1" t="s">
        <v>518</v>
      </c>
      <c r="G17" s="1" t="s">
        <v>114</v>
      </c>
      <c r="H17" s="49" t="s">
        <v>413</v>
      </c>
      <c r="I17" s="3"/>
      <c r="J17" s="3"/>
      <c r="K17" s="3"/>
      <c r="L17" s="3"/>
    </row>
    <row r="18" spans="1:12">
      <c r="A18" s="22">
        <v>16</v>
      </c>
      <c r="B18" s="23">
        <f t="shared" si="2"/>
        <v>623</v>
      </c>
      <c r="C18" s="23" t="str">
        <f t="shared" si="3"/>
        <v>026F</v>
      </c>
      <c r="D18" s="3"/>
      <c r="E18" s="3"/>
      <c r="F18" s="3"/>
      <c r="G18" s="3"/>
      <c r="I18" s="3"/>
      <c r="J18" s="3"/>
      <c r="K18" s="3"/>
      <c r="L18" s="3"/>
    </row>
    <row r="19" spans="1:12">
      <c r="A19" s="22">
        <v>17</v>
      </c>
      <c r="B19" s="23">
        <f t="shared" ref="B19:B66" si="4">$B$2+A19-1</f>
        <v>624</v>
      </c>
      <c r="C19" s="23" t="str">
        <f t="shared" ref="C19:C66" si="5">DEC2HEX(B19,4)</f>
        <v>0270</v>
      </c>
      <c r="D19" s="3"/>
      <c r="E19" s="1" t="s">
        <v>132</v>
      </c>
      <c r="F19" s="1" t="s">
        <v>321</v>
      </c>
      <c r="G19" s="1" t="s">
        <v>231</v>
      </c>
      <c r="H19" s="3" t="s">
        <v>232</v>
      </c>
      <c r="I19" s="3"/>
      <c r="J19" s="3"/>
      <c r="K19" s="3"/>
      <c r="L19" s="3"/>
    </row>
    <row r="20" spans="1:12">
      <c r="A20" s="22">
        <v>18</v>
      </c>
      <c r="B20" s="23">
        <f t="shared" si="4"/>
        <v>625</v>
      </c>
      <c r="C20" s="23" t="str">
        <f t="shared" si="5"/>
        <v>0271</v>
      </c>
      <c r="D20" s="3"/>
      <c r="E20" s="1" t="s">
        <v>132</v>
      </c>
      <c r="F20" s="1" t="s">
        <v>323</v>
      </c>
      <c r="G20" s="1" t="s">
        <v>231</v>
      </c>
      <c r="H20" s="3" t="s">
        <v>234</v>
      </c>
      <c r="I20" s="3"/>
      <c r="J20" s="3"/>
      <c r="K20" s="3"/>
      <c r="L20" s="3"/>
    </row>
    <row r="21" spans="1:12">
      <c r="A21" s="22">
        <v>19</v>
      </c>
      <c r="B21" s="23">
        <f t="shared" si="4"/>
        <v>626</v>
      </c>
      <c r="C21" s="23" t="str">
        <f t="shared" si="5"/>
        <v>0272</v>
      </c>
      <c r="D21" s="3"/>
      <c r="E21" s="1" t="s">
        <v>132</v>
      </c>
      <c r="F21" s="1" t="s">
        <v>325</v>
      </c>
      <c r="G21" s="1" t="s">
        <v>231</v>
      </c>
      <c r="H21" s="3" t="s">
        <v>238</v>
      </c>
      <c r="I21" s="3"/>
      <c r="J21" s="3"/>
      <c r="K21" s="3"/>
      <c r="L21" s="3"/>
    </row>
    <row r="22" spans="1:12">
      <c r="A22" s="22">
        <v>20</v>
      </c>
      <c r="B22" s="23">
        <f t="shared" si="4"/>
        <v>627</v>
      </c>
      <c r="C22" s="23" t="str">
        <f t="shared" si="5"/>
        <v>0273</v>
      </c>
      <c r="D22" s="3"/>
      <c r="E22" s="1" t="s">
        <v>132</v>
      </c>
      <c r="F22" s="1" t="s">
        <v>519</v>
      </c>
      <c r="G22" s="1" t="s">
        <v>231</v>
      </c>
      <c r="I22" s="3"/>
      <c r="J22" s="3"/>
      <c r="K22" s="3"/>
      <c r="L22" s="3"/>
    </row>
    <row r="23" spans="1:12">
      <c r="A23" s="22">
        <v>21</v>
      </c>
      <c r="B23" s="23">
        <f t="shared" si="4"/>
        <v>628</v>
      </c>
      <c r="C23" s="23" t="str">
        <f t="shared" si="5"/>
        <v>0274</v>
      </c>
      <c r="D23" s="3"/>
      <c r="E23" s="1" t="s">
        <v>132</v>
      </c>
      <c r="F23" s="1" t="s">
        <v>520</v>
      </c>
      <c r="G23" s="1" t="s">
        <v>231</v>
      </c>
      <c r="I23" s="3"/>
      <c r="J23" s="3"/>
      <c r="K23" s="3"/>
      <c r="L23" s="3"/>
    </row>
    <row r="24" spans="1:12" s="49" customFormat="1">
      <c r="A24" s="50">
        <v>22</v>
      </c>
      <c r="B24" s="51">
        <f t="shared" si="4"/>
        <v>629</v>
      </c>
      <c r="C24" s="51" t="str">
        <f t="shared" si="5"/>
        <v>0275</v>
      </c>
      <c r="E24" s="50" t="s">
        <v>132</v>
      </c>
      <c r="F24" s="50" t="s">
        <v>521</v>
      </c>
      <c r="G24" s="50" t="s">
        <v>114</v>
      </c>
      <c r="H24" s="49" t="s">
        <v>413</v>
      </c>
    </row>
    <row r="25" spans="1:12" s="49" customFormat="1">
      <c r="A25" s="50">
        <v>23</v>
      </c>
      <c r="B25" s="51">
        <f t="shared" si="4"/>
        <v>630</v>
      </c>
      <c r="C25" s="51" t="str">
        <f t="shared" si="5"/>
        <v>0276</v>
      </c>
      <c r="E25" s="50" t="s">
        <v>132</v>
      </c>
      <c r="F25" s="50" t="s">
        <v>522</v>
      </c>
      <c r="G25" s="50" t="s">
        <v>114</v>
      </c>
      <c r="H25" s="49" t="s">
        <v>413</v>
      </c>
    </row>
    <row r="26" spans="1:12" s="49" customFormat="1">
      <c r="A26" s="50">
        <v>24</v>
      </c>
      <c r="B26" s="51">
        <f t="shared" si="4"/>
        <v>631</v>
      </c>
      <c r="C26" s="51" t="str">
        <f t="shared" si="5"/>
        <v>0277</v>
      </c>
      <c r="E26" s="50" t="s">
        <v>132</v>
      </c>
      <c r="F26" s="50" t="s">
        <v>523</v>
      </c>
      <c r="G26" s="50" t="s">
        <v>114</v>
      </c>
      <c r="H26" s="49" t="s">
        <v>413</v>
      </c>
    </row>
    <row r="27" spans="1:12" s="49" customFormat="1">
      <c r="A27" s="50">
        <v>25</v>
      </c>
      <c r="B27" s="51">
        <f t="shared" si="4"/>
        <v>632</v>
      </c>
      <c r="C27" s="51" t="str">
        <f t="shared" si="5"/>
        <v>0278</v>
      </c>
      <c r="E27" s="50" t="s">
        <v>132</v>
      </c>
      <c r="F27" s="50" t="s">
        <v>524</v>
      </c>
      <c r="G27" s="50" t="s">
        <v>114</v>
      </c>
      <c r="H27" s="49" t="s">
        <v>413</v>
      </c>
    </row>
    <row r="28" spans="1:12" s="49" customFormat="1">
      <c r="A28" s="50">
        <v>26</v>
      </c>
      <c r="B28" s="51">
        <f t="shared" si="4"/>
        <v>633</v>
      </c>
      <c r="C28" s="51" t="str">
        <f t="shared" si="5"/>
        <v>0279</v>
      </c>
      <c r="E28" s="50" t="s">
        <v>132</v>
      </c>
      <c r="F28" s="50" t="s">
        <v>525</v>
      </c>
      <c r="G28" s="50" t="s">
        <v>114</v>
      </c>
      <c r="H28" s="49" t="s">
        <v>413</v>
      </c>
    </row>
    <row r="29" spans="1:12" s="49" customFormat="1">
      <c r="A29" s="50">
        <v>27</v>
      </c>
      <c r="B29" s="51">
        <f t="shared" si="4"/>
        <v>634</v>
      </c>
      <c r="C29" s="51" t="str">
        <f t="shared" si="5"/>
        <v>027A</v>
      </c>
      <c r="E29" s="50" t="s">
        <v>132</v>
      </c>
      <c r="F29" s="50" t="s">
        <v>526</v>
      </c>
      <c r="G29" s="50" t="s">
        <v>114</v>
      </c>
      <c r="H29" s="49" t="s">
        <v>413</v>
      </c>
    </row>
    <row r="30" spans="1:12" s="49" customFormat="1">
      <c r="A30" s="50">
        <v>28</v>
      </c>
      <c r="B30" s="51">
        <f t="shared" si="4"/>
        <v>635</v>
      </c>
      <c r="C30" s="51" t="str">
        <f t="shared" si="5"/>
        <v>027B</v>
      </c>
      <c r="E30" s="50" t="s">
        <v>132</v>
      </c>
      <c r="F30" s="50" t="s">
        <v>527</v>
      </c>
      <c r="G30" s="50" t="s">
        <v>114</v>
      </c>
      <c r="H30" s="49" t="s">
        <v>413</v>
      </c>
    </row>
    <row r="31" spans="1:12" s="49" customFormat="1">
      <c r="A31" s="50">
        <v>29</v>
      </c>
      <c r="B31" s="51">
        <f t="shared" si="4"/>
        <v>636</v>
      </c>
      <c r="C31" s="51" t="str">
        <f t="shared" si="5"/>
        <v>027C</v>
      </c>
      <c r="E31" s="50" t="s">
        <v>132</v>
      </c>
      <c r="F31" s="50" t="s">
        <v>528</v>
      </c>
      <c r="G31" s="50" t="s">
        <v>114</v>
      </c>
      <c r="H31" s="49" t="s">
        <v>413</v>
      </c>
    </row>
    <row r="32" spans="1:12">
      <c r="A32" s="22">
        <v>30</v>
      </c>
      <c r="B32" s="23">
        <f t="shared" si="4"/>
        <v>637</v>
      </c>
      <c r="C32" s="23" t="str">
        <f t="shared" si="5"/>
        <v>027D</v>
      </c>
      <c r="D32" s="3"/>
      <c r="E32" s="3"/>
      <c r="F32" s="3"/>
      <c r="G32" s="3"/>
      <c r="I32" s="3"/>
      <c r="J32" s="3"/>
      <c r="K32" s="3"/>
      <c r="L32" s="3"/>
    </row>
    <row r="33" spans="1:12">
      <c r="A33" s="22">
        <v>31</v>
      </c>
      <c r="B33" s="23">
        <f t="shared" si="4"/>
        <v>638</v>
      </c>
      <c r="C33" s="23" t="str">
        <f t="shared" si="5"/>
        <v>027E</v>
      </c>
      <c r="D33" s="3"/>
      <c r="E33" s="3"/>
      <c r="F33" s="3"/>
      <c r="G33" s="3"/>
      <c r="I33" s="3"/>
      <c r="J33" s="3"/>
      <c r="K33" s="3"/>
      <c r="L33" s="3"/>
    </row>
    <row r="34" spans="1:12">
      <c r="A34" s="22">
        <v>32</v>
      </c>
      <c r="B34" s="23">
        <f t="shared" si="4"/>
        <v>639</v>
      </c>
      <c r="C34" s="23" t="str">
        <f t="shared" si="5"/>
        <v>027F</v>
      </c>
      <c r="D34" s="3"/>
      <c r="E34" s="1"/>
      <c r="F34" s="3"/>
      <c r="G34" s="3"/>
      <c r="I34" s="3"/>
      <c r="J34" s="3"/>
      <c r="K34" s="3"/>
      <c r="L34" s="3"/>
    </row>
    <row r="35" spans="1:12">
      <c r="A35" s="22">
        <v>33</v>
      </c>
      <c r="B35" s="23">
        <f t="shared" si="4"/>
        <v>640</v>
      </c>
      <c r="C35" s="23" t="str">
        <f t="shared" si="5"/>
        <v>0280</v>
      </c>
      <c r="D35" s="3"/>
      <c r="E35" s="1" t="s">
        <v>132</v>
      </c>
      <c r="F35" s="1" t="s">
        <v>326</v>
      </c>
      <c r="G35" s="1" t="s">
        <v>231</v>
      </c>
      <c r="H35" s="3" t="s">
        <v>232</v>
      </c>
      <c r="I35" s="3"/>
      <c r="J35" s="3"/>
      <c r="K35" s="3"/>
      <c r="L35" s="3"/>
    </row>
    <row r="36" spans="1:12">
      <c r="A36" s="22">
        <v>34</v>
      </c>
      <c r="B36" s="23">
        <f t="shared" si="4"/>
        <v>641</v>
      </c>
      <c r="C36" s="23" t="str">
        <f t="shared" si="5"/>
        <v>0281</v>
      </c>
      <c r="D36" s="3"/>
      <c r="E36" s="1" t="s">
        <v>132</v>
      </c>
      <c r="F36" s="1" t="s">
        <v>328</v>
      </c>
      <c r="G36" s="1" t="s">
        <v>231</v>
      </c>
      <c r="H36" s="3" t="s">
        <v>234</v>
      </c>
      <c r="I36" s="3"/>
      <c r="J36" s="3"/>
      <c r="K36" s="3"/>
      <c r="L36" s="3"/>
    </row>
    <row r="37" spans="1:12">
      <c r="A37" s="22">
        <v>35</v>
      </c>
      <c r="B37" s="23">
        <f t="shared" si="4"/>
        <v>642</v>
      </c>
      <c r="C37" s="23" t="str">
        <f t="shared" si="5"/>
        <v>0282</v>
      </c>
      <c r="D37" s="3"/>
      <c r="E37" s="1" t="s">
        <v>132</v>
      </c>
      <c r="F37" s="1" t="s">
        <v>330</v>
      </c>
      <c r="G37" s="1" t="s">
        <v>231</v>
      </c>
      <c r="H37" s="3" t="s">
        <v>238</v>
      </c>
      <c r="I37" s="3"/>
      <c r="J37" s="3"/>
      <c r="K37" s="3"/>
      <c r="L37" s="3"/>
    </row>
    <row r="38" spans="1:12">
      <c r="A38" s="22">
        <v>36</v>
      </c>
      <c r="B38" s="23">
        <f t="shared" si="4"/>
        <v>643</v>
      </c>
      <c r="C38" s="23" t="str">
        <f t="shared" si="5"/>
        <v>0283</v>
      </c>
      <c r="D38" s="3"/>
      <c r="E38" s="1" t="s">
        <v>132</v>
      </c>
      <c r="F38" s="1" t="s">
        <v>529</v>
      </c>
      <c r="G38" s="1" t="s">
        <v>231</v>
      </c>
      <c r="I38" s="3"/>
      <c r="J38" s="3"/>
      <c r="K38" s="3"/>
      <c r="L38" s="3"/>
    </row>
    <row r="39" spans="1:12">
      <c r="A39" s="22">
        <v>37</v>
      </c>
      <c r="B39" s="23">
        <f t="shared" si="4"/>
        <v>644</v>
      </c>
      <c r="C39" s="23" t="str">
        <f t="shared" si="5"/>
        <v>0284</v>
      </c>
      <c r="D39" s="3"/>
      <c r="E39" s="1" t="s">
        <v>132</v>
      </c>
      <c r="F39" s="1" t="s">
        <v>530</v>
      </c>
      <c r="G39" s="1" t="s">
        <v>231</v>
      </c>
      <c r="I39" s="3"/>
      <c r="J39" s="3"/>
      <c r="K39" s="3"/>
      <c r="L39" s="3"/>
    </row>
    <row r="40" spans="1:12">
      <c r="A40" s="22">
        <v>38</v>
      </c>
      <c r="B40" s="23">
        <f t="shared" si="4"/>
        <v>645</v>
      </c>
      <c r="C40" s="23" t="str">
        <f t="shared" si="5"/>
        <v>0285</v>
      </c>
      <c r="D40" s="3"/>
      <c r="E40" s="1" t="s">
        <v>132</v>
      </c>
      <c r="F40" s="1" t="s">
        <v>531</v>
      </c>
      <c r="G40" s="1" t="s">
        <v>114</v>
      </c>
      <c r="H40" s="49" t="s">
        <v>413</v>
      </c>
      <c r="I40" s="3"/>
      <c r="J40" s="3"/>
      <c r="K40" s="3"/>
      <c r="L40" s="3"/>
    </row>
    <row r="41" spans="1:12">
      <c r="A41" s="22">
        <v>39</v>
      </c>
      <c r="B41" s="23">
        <f t="shared" si="4"/>
        <v>646</v>
      </c>
      <c r="C41" s="23" t="str">
        <f t="shared" si="5"/>
        <v>0286</v>
      </c>
      <c r="D41" s="3"/>
      <c r="E41" s="1" t="s">
        <v>132</v>
      </c>
      <c r="F41" s="1" t="s">
        <v>532</v>
      </c>
      <c r="G41" s="1" t="s">
        <v>114</v>
      </c>
      <c r="H41" s="49" t="s">
        <v>413</v>
      </c>
      <c r="I41" s="3"/>
      <c r="J41" s="3"/>
      <c r="K41" s="3"/>
      <c r="L41" s="3"/>
    </row>
    <row r="42" spans="1:12">
      <c r="A42" s="22">
        <v>40</v>
      </c>
      <c r="B42" s="23">
        <f t="shared" si="4"/>
        <v>647</v>
      </c>
      <c r="C42" s="23" t="str">
        <f t="shared" si="5"/>
        <v>0287</v>
      </c>
      <c r="D42" s="3"/>
      <c r="E42" s="1" t="s">
        <v>132</v>
      </c>
      <c r="F42" s="1" t="s">
        <v>523</v>
      </c>
      <c r="G42" s="1" t="s">
        <v>114</v>
      </c>
      <c r="H42" s="49" t="s">
        <v>413</v>
      </c>
      <c r="I42" s="3"/>
      <c r="J42" s="3"/>
      <c r="K42" s="3"/>
      <c r="L42" s="3"/>
    </row>
    <row r="43" spans="1:12">
      <c r="A43" s="22">
        <v>41</v>
      </c>
      <c r="B43" s="23">
        <f t="shared" si="4"/>
        <v>648</v>
      </c>
      <c r="C43" s="23" t="str">
        <f t="shared" si="5"/>
        <v>0288</v>
      </c>
      <c r="D43" s="3"/>
      <c r="E43" s="1" t="s">
        <v>132</v>
      </c>
      <c r="F43" s="1" t="s">
        <v>524</v>
      </c>
      <c r="G43" s="1" t="s">
        <v>114</v>
      </c>
      <c r="H43" s="49" t="s">
        <v>413</v>
      </c>
      <c r="I43" s="3"/>
      <c r="J43" s="3"/>
      <c r="K43" s="3"/>
      <c r="L43" s="3"/>
    </row>
    <row r="44" spans="1:12">
      <c r="A44" s="22">
        <v>42</v>
      </c>
      <c r="B44" s="23">
        <f t="shared" si="4"/>
        <v>649</v>
      </c>
      <c r="C44" s="23" t="str">
        <f t="shared" si="5"/>
        <v>0289</v>
      </c>
      <c r="D44" s="3"/>
      <c r="E44" s="1" t="s">
        <v>132</v>
      </c>
      <c r="F44" s="1" t="s">
        <v>533</v>
      </c>
      <c r="G44" s="1" t="s">
        <v>114</v>
      </c>
      <c r="H44" s="49" t="s">
        <v>413</v>
      </c>
      <c r="I44" s="3"/>
      <c r="J44" s="3"/>
      <c r="K44" s="3"/>
      <c r="L44" s="3"/>
    </row>
    <row r="45" spans="1:12">
      <c r="A45" s="22">
        <v>43</v>
      </c>
      <c r="B45" s="23">
        <f t="shared" si="4"/>
        <v>650</v>
      </c>
      <c r="C45" s="23" t="str">
        <f t="shared" si="5"/>
        <v>028A</v>
      </c>
      <c r="D45" s="3"/>
      <c r="E45" s="1" t="s">
        <v>132</v>
      </c>
      <c r="F45" s="1" t="s">
        <v>534</v>
      </c>
      <c r="G45" s="1" t="s">
        <v>114</v>
      </c>
      <c r="H45" s="49" t="s">
        <v>413</v>
      </c>
      <c r="I45" s="3"/>
      <c r="J45" s="3"/>
      <c r="K45" s="3"/>
      <c r="L45" s="3"/>
    </row>
    <row r="46" spans="1:12">
      <c r="A46" s="22">
        <v>44</v>
      </c>
      <c r="B46" s="23">
        <f t="shared" si="4"/>
        <v>651</v>
      </c>
      <c r="C46" s="23" t="str">
        <f t="shared" si="5"/>
        <v>028B</v>
      </c>
      <c r="D46" s="3"/>
      <c r="E46" s="1" t="s">
        <v>132</v>
      </c>
      <c r="F46" s="1" t="s">
        <v>535</v>
      </c>
      <c r="G46" s="1" t="s">
        <v>114</v>
      </c>
      <c r="H46" s="49" t="s">
        <v>413</v>
      </c>
      <c r="I46" s="3"/>
      <c r="J46" s="3"/>
      <c r="K46" s="3"/>
      <c r="L46" s="3"/>
    </row>
    <row r="47" spans="1:12">
      <c r="A47" s="22">
        <v>45</v>
      </c>
      <c r="B47" s="23">
        <f t="shared" si="4"/>
        <v>652</v>
      </c>
      <c r="C47" s="23" t="str">
        <f t="shared" si="5"/>
        <v>028C</v>
      </c>
      <c r="D47" s="3"/>
      <c r="E47" s="1" t="s">
        <v>132</v>
      </c>
      <c r="F47" s="1" t="s">
        <v>536</v>
      </c>
      <c r="G47" s="1" t="s">
        <v>114</v>
      </c>
      <c r="H47" s="49" t="s">
        <v>413</v>
      </c>
      <c r="I47" s="3"/>
      <c r="J47" s="3"/>
      <c r="K47" s="3"/>
      <c r="L47" s="3"/>
    </row>
    <row r="48" spans="1:12">
      <c r="A48" s="22">
        <v>46</v>
      </c>
      <c r="B48" s="23">
        <f t="shared" si="4"/>
        <v>653</v>
      </c>
      <c r="C48" s="23" t="str">
        <f t="shared" si="5"/>
        <v>028D</v>
      </c>
      <c r="D48" s="3"/>
      <c r="E48" s="3"/>
      <c r="F48" s="3"/>
      <c r="G48" s="3"/>
      <c r="I48" s="3"/>
      <c r="J48" s="3"/>
      <c r="K48" s="3"/>
      <c r="L48" s="3"/>
    </row>
    <row r="49" spans="1:3">
      <c r="A49" s="22">
        <v>47</v>
      </c>
      <c r="B49" s="23">
        <f t="shared" si="4"/>
        <v>654</v>
      </c>
      <c r="C49" s="23" t="str">
        <f t="shared" si="5"/>
        <v>028E</v>
      </c>
    </row>
    <row r="50" spans="1:3">
      <c r="A50" s="22">
        <v>48</v>
      </c>
      <c r="B50" s="23">
        <f t="shared" si="4"/>
        <v>655</v>
      </c>
      <c r="C50" s="23" t="str">
        <f t="shared" si="5"/>
        <v>028F</v>
      </c>
    </row>
    <row r="51" spans="1:3">
      <c r="A51" s="22">
        <v>49</v>
      </c>
      <c r="B51" s="23">
        <f t="shared" si="4"/>
        <v>656</v>
      </c>
      <c r="C51" s="23" t="str">
        <f t="shared" si="5"/>
        <v>0290</v>
      </c>
    </row>
    <row r="52" spans="1:3">
      <c r="A52" s="22">
        <v>50</v>
      </c>
      <c r="B52" s="23">
        <f t="shared" si="4"/>
        <v>657</v>
      </c>
      <c r="C52" s="23" t="str">
        <f t="shared" si="5"/>
        <v>0291</v>
      </c>
    </row>
    <row r="53" spans="1:3">
      <c r="A53" s="22">
        <v>51</v>
      </c>
      <c r="B53" s="23">
        <f t="shared" si="4"/>
        <v>658</v>
      </c>
      <c r="C53" s="23" t="str">
        <f t="shared" si="5"/>
        <v>0292</v>
      </c>
    </row>
    <row r="54" spans="1:3">
      <c r="A54" s="22">
        <v>52</v>
      </c>
      <c r="B54" s="23">
        <f t="shared" si="4"/>
        <v>659</v>
      </c>
      <c r="C54" s="23" t="str">
        <f t="shared" si="5"/>
        <v>0293</v>
      </c>
    </row>
    <row r="55" spans="1:3">
      <c r="A55" s="22">
        <v>53</v>
      </c>
      <c r="B55" s="23">
        <f t="shared" si="4"/>
        <v>660</v>
      </c>
      <c r="C55" s="23" t="str">
        <f t="shared" si="5"/>
        <v>0294</v>
      </c>
    </row>
    <row r="56" spans="1:3">
      <c r="A56" s="22">
        <v>54</v>
      </c>
      <c r="B56" s="23">
        <f t="shared" si="4"/>
        <v>661</v>
      </c>
      <c r="C56" s="23" t="str">
        <f t="shared" si="5"/>
        <v>0295</v>
      </c>
    </row>
    <row r="57" spans="1:3">
      <c r="A57" s="22">
        <v>55</v>
      </c>
      <c r="B57" s="23">
        <f t="shared" si="4"/>
        <v>662</v>
      </c>
      <c r="C57" s="23" t="str">
        <f t="shared" si="5"/>
        <v>0296</v>
      </c>
    </row>
    <row r="58" spans="1:3">
      <c r="A58" s="22">
        <v>56</v>
      </c>
      <c r="B58" s="23">
        <f t="shared" si="4"/>
        <v>663</v>
      </c>
      <c r="C58" s="23" t="str">
        <f t="shared" si="5"/>
        <v>0297</v>
      </c>
    </row>
    <row r="59" spans="1:3">
      <c r="A59" s="22">
        <v>57</v>
      </c>
      <c r="B59" s="23">
        <f t="shared" si="4"/>
        <v>664</v>
      </c>
      <c r="C59" s="23" t="str">
        <f t="shared" si="5"/>
        <v>0298</v>
      </c>
    </row>
    <row r="60" spans="1:3">
      <c r="A60" s="22">
        <v>58</v>
      </c>
      <c r="B60" s="23">
        <f t="shared" si="4"/>
        <v>665</v>
      </c>
      <c r="C60" s="23" t="str">
        <f t="shared" si="5"/>
        <v>0299</v>
      </c>
    </row>
    <row r="61" spans="1:3">
      <c r="A61" s="22">
        <v>59</v>
      </c>
      <c r="B61" s="23">
        <f t="shared" si="4"/>
        <v>666</v>
      </c>
      <c r="C61" s="23" t="str">
        <f t="shared" si="5"/>
        <v>029A</v>
      </c>
    </row>
    <row r="62" spans="1:3">
      <c r="A62" s="22">
        <v>60</v>
      </c>
      <c r="B62" s="23">
        <f t="shared" si="4"/>
        <v>667</v>
      </c>
      <c r="C62" s="23" t="str">
        <f t="shared" si="5"/>
        <v>029B</v>
      </c>
    </row>
    <row r="63" spans="1:3">
      <c r="A63" s="22">
        <v>61</v>
      </c>
      <c r="B63" s="23">
        <f t="shared" si="4"/>
        <v>668</v>
      </c>
      <c r="C63" s="23" t="str">
        <f t="shared" si="5"/>
        <v>029C</v>
      </c>
    </row>
    <row r="64" spans="1:3">
      <c r="A64" s="22">
        <v>62</v>
      </c>
      <c r="B64" s="23">
        <f t="shared" si="4"/>
        <v>669</v>
      </c>
      <c r="C64" s="23" t="str">
        <f t="shared" si="5"/>
        <v>029D</v>
      </c>
    </row>
    <row r="65" spans="1:3">
      <c r="A65" s="22">
        <v>63</v>
      </c>
      <c r="B65" s="23">
        <f t="shared" si="4"/>
        <v>670</v>
      </c>
      <c r="C65" s="23" t="str">
        <f t="shared" si="5"/>
        <v>029E</v>
      </c>
    </row>
    <row r="66" spans="1:3">
      <c r="A66" s="22">
        <v>64</v>
      </c>
      <c r="B66" s="23">
        <f t="shared" si="4"/>
        <v>671</v>
      </c>
      <c r="C66" s="23" t="str">
        <f t="shared" si="5"/>
        <v>029F</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K66"/>
  <sheetViews>
    <sheetView topLeftCell="A58" workbookViewId="0">
      <selection activeCell="L33" sqref="L33"/>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6.28515625" customWidth="1"/>
    <col min="8" max="9" width="5.5703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s="22" customFormat="1">
      <c r="B2" s="22">
        <f>HEX2DEC(C2)</f>
        <v>672</v>
      </c>
      <c r="C2" s="22" t="s">
        <v>537</v>
      </c>
      <c r="F2" s="22" t="s">
        <v>538</v>
      </c>
      <c r="H2" s="24"/>
      <c r="I2" s="24"/>
    </row>
    <row r="3" spans="1:11" s="22" customFormat="1">
      <c r="A3" s="22">
        <v>1</v>
      </c>
      <c r="B3" s="23">
        <f t="shared" ref="B3:B8" si="0">$B$2+A3-1</f>
        <v>672</v>
      </c>
      <c r="C3" s="23" t="str">
        <f>DEC2HEX(B3,4)</f>
        <v>02A0</v>
      </c>
      <c r="E3" s="22" t="s">
        <v>132</v>
      </c>
      <c r="F3" s="22" t="s">
        <v>539</v>
      </c>
      <c r="G3" s="22" t="s">
        <v>231</v>
      </c>
      <c r="H3" s="24" t="s">
        <v>540</v>
      </c>
      <c r="I3" s="24"/>
    </row>
    <row r="4" spans="1:11" s="22" customFormat="1">
      <c r="A4" s="22">
        <v>2</v>
      </c>
      <c r="B4" s="23">
        <f t="shared" si="0"/>
        <v>673</v>
      </c>
      <c r="C4" s="23" t="str">
        <f t="shared" ref="C4:C8" si="1">DEC2HEX(B4,4)</f>
        <v>02A1</v>
      </c>
      <c r="E4" s="22" t="s">
        <v>132</v>
      </c>
      <c r="F4" s="22" t="s">
        <v>541</v>
      </c>
      <c r="G4" s="22" t="s">
        <v>231</v>
      </c>
      <c r="H4" s="24" t="s">
        <v>236</v>
      </c>
      <c r="I4" s="24"/>
    </row>
    <row r="5" spans="1:11" s="22" customFormat="1">
      <c r="A5" s="22">
        <v>3</v>
      </c>
      <c r="B5" s="23">
        <f t="shared" si="0"/>
        <v>674</v>
      </c>
      <c r="C5" s="23" t="str">
        <f t="shared" si="1"/>
        <v>02A2</v>
      </c>
      <c r="F5" s="1"/>
      <c r="G5" s="1"/>
      <c r="H5" s="9"/>
      <c r="I5" s="24"/>
    </row>
    <row r="6" spans="1:11" s="22" customFormat="1">
      <c r="A6" s="22">
        <v>4</v>
      </c>
      <c r="B6" s="23">
        <f t="shared" si="0"/>
        <v>675</v>
      </c>
      <c r="C6" s="23" t="str">
        <f t="shared" si="1"/>
        <v>02A3</v>
      </c>
      <c r="F6" s="1"/>
      <c r="G6" s="1"/>
      <c r="H6" s="9"/>
      <c r="I6" s="24"/>
    </row>
    <row r="7" spans="1:11" s="22" customFormat="1">
      <c r="A7" s="22">
        <v>5</v>
      </c>
      <c r="B7" s="23">
        <f t="shared" si="0"/>
        <v>676</v>
      </c>
      <c r="C7" s="23" t="str">
        <f t="shared" si="1"/>
        <v>02A4</v>
      </c>
      <c r="I7" s="24"/>
    </row>
    <row r="8" spans="1:11" s="22" customFormat="1">
      <c r="A8" s="22">
        <v>6</v>
      </c>
      <c r="B8" s="23">
        <f t="shared" si="0"/>
        <v>677</v>
      </c>
      <c r="C8" s="23" t="str">
        <f t="shared" si="1"/>
        <v>02A5</v>
      </c>
      <c r="I8" s="24"/>
    </row>
    <row r="9" spans="1:11" s="22" customFormat="1">
      <c r="A9" s="22">
        <v>7</v>
      </c>
      <c r="B9" s="23">
        <f t="shared" ref="B9:B18" si="2">$B$2+A9-1</f>
        <v>678</v>
      </c>
      <c r="C9" s="23" t="str">
        <f t="shared" ref="C9:C18" si="3">DEC2HEX(B9,4)</f>
        <v>02A6</v>
      </c>
      <c r="I9" s="24"/>
    </row>
    <row r="10" spans="1:11">
      <c r="A10" s="22">
        <v>8</v>
      </c>
      <c r="B10" s="23">
        <f t="shared" si="2"/>
        <v>679</v>
      </c>
      <c r="C10" s="23" t="str">
        <f t="shared" si="3"/>
        <v>02A7</v>
      </c>
    </row>
    <row r="11" spans="1:11">
      <c r="A11" s="22">
        <v>9</v>
      </c>
      <c r="B11" s="23">
        <f t="shared" si="2"/>
        <v>680</v>
      </c>
      <c r="C11" s="23" t="str">
        <f t="shared" si="3"/>
        <v>02A8</v>
      </c>
    </row>
    <row r="12" spans="1:11">
      <c r="A12" s="22">
        <v>10</v>
      </c>
      <c r="B12" s="23">
        <f t="shared" si="2"/>
        <v>681</v>
      </c>
      <c r="C12" s="23" t="str">
        <f t="shared" si="3"/>
        <v>02A9</v>
      </c>
    </row>
    <row r="13" spans="1:11">
      <c r="A13" s="22">
        <v>11</v>
      </c>
      <c r="B13" s="23">
        <f t="shared" si="2"/>
        <v>682</v>
      </c>
      <c r="C13" s="23" t="str">
        <f t="shared" si="3"/>
        <v>02AA</v>
      </c>
      <c r="E13" s="22" t="s">
        <v>132</v>
      </c>
      <c r="F13" s="22" t="s">
        <v>542</v>
      </c>
      <c r="G13" s="22" t="s">
        <v>231</v>
      </c>
      <c r="H13" s="24" t="s">
        <v>232</v>
      </c>
    </row>
    <row r="14" spans="1:11">
      <c r="A14" s="22">
        <v>12</v>
      </c>
      <c r="B14" s="23">
        <f t="shared" si="2"/>
        <v>683</v>
      </c>
      <c r="C14" s="23" t="str">
        <f t="shared" si="3"/>
        <v>02AB</v>
      </c>
      <c r="E14" s="22" t="s">
        <v>132</v>
      </c>
      <c r="F14" s="22" t="s">
        <v>543</v>
      </c>
      <c r="G14" s="22" t="s">
        <v>231</v>
      </c>
      <c r="H14" s="24" t="s">
        <v>236</v>
      </c>
    </row>
    <row r="15" spans="1:11">
      <c r="A15" s="22">
        <v>13</v>
      </c>
      <c r="B15" s="23">
        <f t="shared" si="2"/>
        <v>684</v>
      </c>
      <c r="C15" s="23" t="str">
        <f t="shared" si="3"/>
        <v>02AC</v>
      </c>
      <c r="E15" s="22" t="s">
        <v>132</v>
      </c>
      <c r="F15" s="22" t="s">
        <v>544</v>
      </c>
      <c r="G15" s="22" t="s">
        <v>231</v>
      </c>
      <c r="H15" s="24" t="s">
        <v>234</v>
      </c>
    </row>
    <row r="16" spans="1:11">
      <c r="A16" s="22">
        <v>14</v>
      </c>
      <c r="B16" s="23">
        <f t="shared" si="2"/>
        <v>685</v>
      </c>
      <c r="C16" s="23" t="str">
        <f t="shared" si="3"/>
        <v>02AD</v>
      </c>
      <c r="E16" s="22" t="s">
        <v>132</v>
      </c>
      <c r="F16" s="22" t="s">
        <v>545</v>
      </c>
      <c r="G16" s="22" t="s">
        <v>231</v>
      </c>
      <c r="H16" s="24" t="s">
        <v>546</v>
      </c>
    </row>
    <row r="17" spans="1:8">
      <c r="A17" s="22">
        <v>15</v>
      </c>
      <c r="B17" s="23">
        <f t="shared" si="2"/>
        <v>686</v>
      </c>
      <c r="C17" s="23" t="str">
        <f t="shared" si="3"/>
        <v>02AE</v>
      </c>
      <c r="E17" s="22" t="s">
        <v>132</v>
      </c>
      <c r="F17" s="22" t="s">
        <v>547</v>
      </c>
      <c r="G17" s="22" t="s">
        <v>114</v>
      </c>
      <c r="H17" s="24" t="s">
        <v>364</v>
      </c>
    </row>
    <row r="18" spans="1:8">
      <c r="A18" s="22">
        <v>16</v>
      </c>
      <c r="B18" s="23">
        <f t="shared" si="2"/>
        <v>687</v>
      </c>
      <c r="C18" s="23" t="str">
        <f t="shared" si="3"/>
        <v>02AF</v>
      </c>
      <c r="E18" s="22" t="s">
        <v>132</v>
      </c>
      <c r="F18" s="22" t="s">
        <v>548</v>
      </c>
      <c r="G18" s="22" t="s">
        <v>114</v>
      </c>
      <c r="H18" s="24" t="s">
        <v>364</v>
      </c>
    </row>
    <row r="19" spans="1:8">
      <c r="A19" s="22">
        <v>17</v>
      </c>
      <c r="B19" s="23">
        <f t="shared" ref="B19:B66" si="4">$B$2+A19-1</f>
        <v>688</v>
      </c>
      <c r="C19" s="23" t="str">
        <f t="shared" ref="C19:C66" si="5">DEC2HEX(B19,4)</f>
        <v>02B0</v>
      </c>
      <c r="E19" s="22" t="s">
        <v>132</v>
      </c>
      <c r="F19" s="22" t="s">
        <v>549</v>
      </c>
      <c r="G19" s="22" t="s">
        <v>114</v>
      </c>
      <c r="H19" s="24" t="s">
        <v>364</v>
      </c>
    </row>
    <row r="20" spans="1:8">
      <c r="A20" s="22">
        <v>18</v>
      </c>
      <c r="B20" s="23">
        <f t="shared" si="4"/>
        <v>689</v>
      </c>
      <c r="C20" s="23" t="str">
        <f t="shared" si="5"/>
        <v>02B1</v>
      </c>
      <c r="E20" s="22" t="s">
        <v>132</v>
      </c>
      <c r="F20" s="22" t="s">
        <v>550</v>
      </c>
      <c r="G20" s="22" t="s">
        <v>114</v>
      </c>
      <c r="H20" s="24" t="s">
        <v>364</v>
      </c>
    </row>
    <row r="21" spans="1:8">
      <c r="A21" s="22">
        <v>19</v>
      </c>
      <c r="B21" s="23">
        <f t="shared" si="4"/>
        <v>690</v>
      </c>
      <c r="C21" s="23" t="str">
        <f t="shared" si="5"/>
        <v>02B2</v>
      </c>
      <c r="E21" s="22" t="s">
        <v>132</v>
      </c>
      <c r="F21" s="22" t="s">
        <v>551</v>
      </c>
      <c r="G21" s="22" t="s">
        <v>114</v>
      </c>
      <c r="H21" s="24" t="s">
        <v>364</v>
      </c>
    </row>
    <row r="22" spans="1:8">
      <c r="A22" s="22">
        <v>20</v>
      </c>
      <c r="B22" s="23">
        <f t="shared" si="4"/>
        <v>691</v>
      </c>
      <c r="C22" s="23" t="str">
        <f t="shared" si="5"/>
        <v>02B3</v>
      </c>
      <c r="E22" s="22" t="s">
        <v>132</v>
      </c>
      <c r="F22" s="22" t="s">
        <v>552</v>
      </c>
      <c r="G22" s="22" t="s">
        <v>114</v>
      </c>
      <c r="H22" s="24" t="s">
        <v>364</v>
      </c>
    </row>
    <row r="23" spans="1:8">
      <c r="A23" s="22">
        <v>21</v>
      </c>
      <c r="B23" s="23">
        <f t="shared" si="4"/>
        <v>692</v>
      </c>
      <c r="C23" s="23" t="str">
        <f t="shared" si="5"/>
        <v>02B4</v>
      </c>
      <c r="E23" s="22" t="s">
        <v>132</v>
      </c>
      <c r="F23" s="22" t="s">
        <v>553</v>
      </c>
      <c r="G23" s="22" t="s">
        <v>114</v>
      </c>
      <c r="H23" s="24" t="s">
        <v>364</v>
      </c>
    </row>
    <row r="24" spans="1:8">
      <c r="A24" s="22">
        <v>22</v>
      </c>
      <c r="B24" s="23">
        <f t="shared" si="4"/>
        <v>693</v>
      </c>
      <c r="C24" s="23" t="str">
        <f t="shared" si="5"/>
        <v>02B5</v>
      </c>
      <c r="E24" s="22" t="s">
        <v>132</v>
      </c>
      <c r="F24" s="22" t="s">
        <v>554</v>
      </c>
      <c r="G24" s="22" t="s">
        <v>114</v>
      </c>
      <c r="H24" s="24" t="s">
        <v>364</v>
      </c>
    </row>
    <row r="25" spans="1:8">
      <c r="A25" s="22">
        <v>23</v>
      </c>
      <c r="B25" s="23">
        <f t="shared" si="4"/>
        <v>694</v>
      </c>
      <c r="C25" s="23" t="str">
        <f t="shared" si="5"/>
        <v>02B6</v>
      </c>
      <c r="E25" s="22" t="s">
        <v>132</v>
      </c>
      <c r="F25" s="22" t="s">
        <v>555</v>
      </c>
      <c r="G25" s="22" t="s">
        <v>114</v>
      </c>
      <c r="H25" s="24" t="s">
        <v>364</v>
      </c>
    </row>
    <row r="26" spans="1:8">
      <c r="A26" s="22">
        <v>24</v>
      </c>
      <c r="B26" s="23">
        <f t="shared" si="4"/>
        <v>695</v>
      </c>
      <c r="C26" s="23" t="str">
        <f t="shared" si="5"/>
        <v>02B7</v>
      </c>
      <c r="E26" s="22" t="s">
        <v>132</v>
      </c>
      <c r="F26" s="22" t="s">
        <v>556</v>
      </c>
      <c r="G26" s="22" t="s">
        <v>114</v>
      </c>
      <c r="H26" s="24" t="s">
        <v>364</v>
      </c>
    </row>
    <row r="27" spans="1:8">
      <c r="A27" s="22">
        <v>25</v>
      </c>
      <c r="B27" s="23">
        <f t="shared" si="4"/>
        <v>696</v>
      </c>
      <c r="C27" s="23" t="str">
        <f t="shared" si="5"/>
        <v>02B8</v>
      </c>
      <c r="E27" s="22" t="s">
        <v>132</v>
      </c>
      <c r="F27" s="22" t="s">
        <v>478</v>
      </c>
      <c r="G27" s="22" t="s">
        <v>114</v>
      </c>
      <c r="H27" s="24" t="s">
        <v>364</v>
      </c>
    </row>
    <row r="28" spans="1:8">
      <c r="A28" s="22">
        <v>26</v>
      </c>
      <c r="B28" s="23">
        <f t="shared" si="4"/>
        <v>697</v>
      </c>
      <c r="C28" s="23" t="str">
        <f t="shared" si="5"/>
        <v>02B9</v>
      </c>
      <c r="E28" s="22" t="s">
        <v>132</v>
      </c>
      <c r="F28" s="22" t="s">
        <v>479</v>
      </c>
      <c r="G28" s="22" t="s">
        <v>114</v>
      </c>
      <c r="H28" s="24" t="s">
        <v>364</v>
      </c>
    </row>
    <row r="29" spans="1:8">
      <c r="A29" s="22">
        <v>27</v>
      </c>
      <c r="B29" s="23">
        <f t="shared" si="4"/>
        <v>698</v>
      </c>
      <c r="C29" s="23" t="str">
        <f t="shared" si="5"/>
        <v>02BA</v>
      </c>
      <c r="E29" s="22" t="s">
        <v>132</v>
      </c>
      <c r="F29" s="22" t="s">
        <v>557</v>
      </c>
      <c r="G29" s="22" t="s">
        <v>231</v>
      </c>
      <c r="H29" s="24" t="s">
        <v>232</v>
      </c>
    </row>
    <row r="30" spans="1:8">
      <c r="A30" s="22">
        <v>28</v>
      </c>
      <c r="B30" s="23">
        <f t="shared" si="4"/>
        <v>699</v>
      </c>
      <c r="C30" s="23" t="str">
        <f t="shared" si="5"/>
        <v>02BB</v>
      </c>
      <c r="E30" s="22" t="s">
        <v>132</v>
      </c>
      <c r="F30" s="22" t="s">
        <v>558</v>
      </c>
      <c r="G30" s="22" t="s">
        <v>231</v>
      </c>
      <c r="H30" s="24" t="s">
        <v>236</v>
      </c>
    </row>
    <row r="31" spans="1:8">
      <c r="A31" s="22">
        <v>29</v>
      </c>
      <c r="B31" s="23">
        <f t="shared" si="4"/>
        <v>700</v>
      </c>
      <c r="C31" s="23" t="str">
        <f t="shared" si="5"/>
        <v>02BC</v>
      </c>
      <c r="E31" s="22" t="s">
        <v>132</v>
      </c>
      <c r="F31" s="22" t="s">
        <v>559</v>
      </c>
      <c r="G31" s="22" t="s">
        <v>231</v>
      </c>
      <c r="H31" s="24" t="s">
        <v>234</v>
      </c>
    </row>
    <row r="32" spans="1:8">
      <c r="A32" s="22">
        <v>30</v>
      </c>
      <c r="B32" s="23">
        <f t="shared" si="4"/>
        <v>701</v>
      </c>
      <c r="C32" s="23" t="str">
        <f t="shared" si="5"/>
        <v>02BD</v>
      </c>
      <c r="E32" s="22" t="s">
        <v>132</v>
      </c>
      <c r="F32" s="22" t="s">
        <v>560</v>
      </c>
      <c r="G32" s="22" t="s">
        <v>231</v>
      </c>
      <c r="H32" s="24" t="s">
        <v>546</v>
      </c>
    </row>
    <row r="33" spans="1:8">
      <c r="A33" s="22">
        <v>31</v>
      </c>
      <c r="B33" s="23">
        <f t="shared" si="4"/>
        <v>702</v>
      </c>
      <c r="C33" s="23" t="str">
        <f t="shared" si="5"/>
        <v>02BE</v>
      </c>
    </row>
    <row r="34" spans="1:8">
      <c r="A34" s="22">
        <v>32</v>
      </c>
      <c r="B34" s="23">
        <f t="shared" si="4"/>
        <v>703</v>
      </c>
      <c r="C34" s="23" t="str">
        <f t="shared" si="5"/>
        <v>02BF</v>
      </c>
    </row>
    <row r="35" spans="1:8">
      <c r="A35" s="22">
        <v>33</v>
      </c>
      <c r="B35" s="23">
        <f t="shared" si="4"/>
        <v>704</v>
      </c>
      <c r="C35" s="23" t="str">
        <f t="shared" si="5"/>
        <v>02C0</v>
      </c>
      <c r="E35" s="22" t="s">
        <v>132</v>
      </c>
      <c r="F35" s="22" t="s">
        <v>561</v>
      </c>
      <c r="G35" s="22" t="s">
        <v>114</v>
      </c>
      <c r="H35" s="24" t="s">
        <v>364</v>
      </c>
    </row>
    <row r="36" spans="1:8">
      <c r="A36" s="22">
        <v>34</v>
      </c>
      <c r="B36" s="23">
        <f t="shared" si="4"/>
        <v>705</v>
      </c>
      <c r="C36" s="23" t="str">
        <f t="shared" si="5"/>
        <v>02C1</v>
      </c>
      <c r="E36" s="22" t="s">
        <v>132</v>
      </c>
      <c r="F36" s="22" t="s">
        <v>562</v>
      </c>
      <c r="G36" s="22" t="s">
        <v>114</v>
      </c>
      <c r="H36" s="24" t="s">
        <v>364</v>
      </c>
    </row>
    <row r="37" spans="1:8">
      <c r="A37" s="22">
        <v>35</v>
      </c>
      <c r="B37" s="23">
        <f t="shared" si="4"/>
        <v>706</v>
      </c>
      <c r="C37" s="23" t="str">
        <f t="shared" si="5"/>
        <v>02C2</v>
      </c>
      <c r="E37" s="22" t="s">
        <v>132</v>
      </c>
      <c r="F37" s="22" t="s">
        <v>563</v>
      </c>
      <c r="G37" s="22" t="s">
        <v>114</v>
      </c>
      <c r="H37" s="24" t="s">
        <v>364</v>
      </c>
    </row>
    <row r="38" spans="1:8">
      <c r="A38" s="22">
        <v>36</v>
      </c>
      <c r="B38" s="23">
        <f t="shared" si="4"/>
        <v>707</v>
      </c>
      <c r="C38" s="23" t="str">
        <f t="shared" si="5"/>
        <v>02C3</v>
      </c>
      <c r="E38" s="22" t="s">
        <v>132</v>
      </c>
      <c r="F38" s="22" t="s">
        <v>564</v>
      </c>
      <c r="G38" s="22" t="s">
        <v>114</v>
      </c>
      <c r="H38" s="24" t="s">
        <v>364</v>
      </c>
    </row>
    <row r="39" spans="1:8">
      <c r="A39" s="22">
        <v>37</v>
      </c>
      <c r="B39" s="23">
        <f t="shared" si="4"/>
        <v>708</v>
      </c>
      <c r="C39" s="23" t="str">
        <f t="shared" si="5"/>
        <v>02C4</v>
      </c>
      <c r="E39" s="22" t="s">
        <v>132</v>
      </c>
      <c r="F39" s="22" t="s">
        <v>565</v>
      </c>
      <c r="G39" s="22" t="s">
        <v>114</v>
      </c>
      <c r="H39" s="24" t="s">
        <v>364</v>
      </c>
    </row>
    <row r="40" spans="1:8">
      <c r="A40" s="22">
        <v>38</v>
      </c>
      <c r="B40" s="23">
        <f t="shared" si="4"/>
        <v>709</v>
      </c>
      <c r="C40" s="23" t="str">
        <f t="shared" si="5"/>
        <v>02C5</v>
      </c>
      <c r="E40" s="22" t="s">
        <v>132</v>
      </c>
      <c r="F40" s="22" t="s">
        <v>566</v>
      </c>
      <c r="G40" s="22" t="s">
        <v>114</v>
      </c>
      <c r="H40" s="24" t="s">
        <v>364</v>
      </c>
    </row>
    <row r="41" spans="1:8">
      <c r="A41" s="22">
        <v>39</v>
      </c>
      <c r="B41" s="23">
        <f t="shared" si="4"/>
        <v>710</v>
      </c>
      <c r="C41" s="23" t="str">
        <f t="shared" si="5"/>
        <v>02C6</v>
      </c>
    </row>
    <row r="42" spans="1:8">
      <c r="A42" s="22">
        <v>40</v>
      </c>
      <c r="B42" s="23">
        <f t="shared" si="4"/>
        <v>711</v>
      </c>
      <c r="C42" s="23" t="str">
        <f t="shared" si="5"/>
        <v>02C7</v>
      </c>
    </row>
    <row r="43" spans="1:8">
      <c r="A43" s="22">
        <v>41</v>
      </c>
      <c r="B43" s="23">
        <f t="shared" si="4"/>
        <v>712</v>
      </c>
      <c r="C43" s="23" t="str">
        <f t="shared" si="5"/>
        <v>02C8</v>
      </c>
    </row>
    <row r="44" spans="1:8">
      <c r="A44" s="22">
        <v>42</v>
      </c>
      <c r="B44" s="23">
        <f t="shared" si="4"/>
        <v>713</v>
      </c>
      <c r="C44" s="23" t="str">
        <f t="shared" si="5"/>
        <v>02C9</v>
      </c>
    </row>
    <row r="45" spans="1:8">
      <c r="A45" s="22">
        <v>43</v>
      </c>
      <c r="B45" s="23">
        <f t="shared" si="4"/>
        <v>714</v>
      </c>
      <c r="C45" s="23" t="str">
        <f t="shared" si="5"/>
        <v>02CA</v>
      </c>
      <c r="E45" s="22" t="s">
        <v>132</v>
      </c>
      <c r="F45" s="22" t="s">
        <v>567</v>
      </c>
      <c r="G45" s="22" t="s">
        <v>231</v>
      </c>
      <c r="H45" s="24" t="s">
        <v>232</v>
      </c>
    </row>
    <row r="46" spans="1:8">
      <c r="A46" s="22">
        <v>44</v>
      </c>
      <c r="B46" s="23">
        <f t="shared" si="4"/>
        <v>715</v>
      </c>
      <c r="C46" s="23" t="str">
        <f t="shared" si="5"/>
        <v>02CB</v>
      </c>
      <c r="E46" s="22" t="s">
        <v>132</v>
      </c>
      <c r="F46" s="22" t="s">
        <v>568</v>
      </c>
      <c r="G46" s="22" t="s">
        <v>231</v>
      </c>
      <c r="H46" s="24" t="s">
        <v>236</v>
      </c>
    </row>
    <row r="47" spans="1:8">
      <c r="A47" s="22">
        <v>45</v>
      </c>
      <c r="B47" s="23">
        <f t="shared" si="4"/>
        <v>716</v>
      </c>
      <c r="C47" s="23" t="str">
        <f t="shared" si="5"/>
        <v>02CC</v>
      </c>
      <c r="E47" s="22" t="s">
        <v>132</v>
      </c>
      <c r="F47" s="22" t="s">
        <v>569</v>
      </c>
      <c r="G47" s="22" t="s">
        <v>231</v>
      </c>
      <c r="H47" s="24" t="s">
        <v>234</v>
      </c>
    </row>
    <row r="48" spans="1:8">
      <c r="A48" s="22">
        <v>46</v>
      </c>
      <c r="B48" s="23">
        <f t="shared" si="4"/>
        <v>717</v>
      </c>
      <c r="C48" s="23" t="str">
        <f t="shared" si="5"/>
        <v>02CD</v>
      </c>
      <c r="E48" s="22" t="s">
        <v>132</v>
      </c>
      <c r="F48" s="22" t="s">
        <v>570</v>
      </c>
      <c r="G48" s="22" t="s">
        <v>231</v>
      </c>
      <c r="H48" s="24" t="s">
        <v>546</v>
      </c>
    </row>
    <row r="49" spans="1:8">
      <c r="A49" s="22">
        <v>47</v>
      </c>
      <c r="B49" s="23">
        <f t="shared" si="4"/>
        <v>718</v>
      </c>
      <c r="C49" s="23" t="str">
        <f t="shared" si="5"/>
        <v>02CE</v>
      </c>
    </row>
    <row r="50" spans="1:8">
      <c r="A50" s="22">
        <v>48</v>
      </c>
      <c r="B50" s="23">
        <f t="shared" si="4"/>
        <v>719</v>
      </c>
      <c r="C50" s="23" t="str">
        <f t="shared" si="5"/>
        <v>02CF</v>
      </c>
    </row>
    <row r="51" spans="1:8">
      <c r="A51" s="22">
        <v>49</v>
      </c>
      <c r="B51" s="23">
        <f t="shared" si="4"/>
        <v>720</v>
      </c>
      <c r="C51" s="23" t="str">
        <f t="shared" si="5"/>
        <v>02D0</v>
      </c>
      <c r="E51" s="22" t="s">
        <v>132</v>
      </c>
      <c r="F51" s="22" t="s">
        <v>571</v>
      </c>
      <c r="G51" s="22" t="s">
        <v>114</v>
      </c>
      <c r="H51" s="24" t="s">
        <v>364</v>
      </c>
    </row>
    <row r="52" spans="1:8">
      <c r="A52" s="22">
        <v>50</v>
      </c>
      <c r="B52" s="23">
        <f t="shared" si="4"/>
        <v>721</v>
      </c>
      <c r="C52" s="23" t="str">
        <f t="shared" si="5"/>
        <v>02D1</v>
      </c>
      <c r="E52" s="22" t="s">
        <v>132</v>
      </c>
      <c r="F52" s="22" t="s">
        <v>572</v>
      </c>
      <c r="G52" s="22" t="s">
        <v>114</v>
      </c>
      <c r="H52" s="24" t="s">
        <v>364</v>
      </c>
    </row>
    <row r="53" spans="1:8">
      <c r="A53" s="22">
        <v>51</v>
      </c>
      <c r="B53" s="23">
        <f t="shared" si="4"/>
        <v>722</v>
      </c>
      <c r="C53" s="23" t="str">
        <f t="shared" si="5"/>
        <v>02D2</v>
      </c>
      <c r="E53" s="22" t="s">
        <v>132</v>
      </c>
      <c r="F53" s="22" t="s">
        <v>573</v>
      </c>
      <c r="G53" s="22" t="s">
        <v>114</v>
      </c>
      <c r="H53" s="24" t="s">
        <v>364</v>
      </c>
    </row>
    <row r="54" spans="1:8">
      <c r="A54" s="22">
        <v>52</v>
      </c>
      <c r="B54" s="23">
        <f t="shared" si="4"/>
        <v>723</v>
      </c>
      <c r="C54" s="23" t="str">
        <f t="shared" si="5"/>
        <v>02D3</v>
      </c>
      <c r="E54" s="22" t="s">
        <v>132</v>
      </c>
      <c r="F54" s="22" t="s">
        <v>574</v>
      </c>
      <c r="G54" s="22" t="s">
        <v>114</v>
      </c>
      <c r="H54" s="24" t="s">
        <v>364</v>
      </c>
    </row>
    <row r="55" spans="1:8">
      <c r="A55" s="22">
        <v>53</v>
      </c>
      <c r="B55" s="23">
        <f t="shared" si="4"/>
        <v>724</v>
      </c>
      <c r="C55" s="23" t="str">
        <f t="shared" si="5"/>
        <v>02D4</v>
      </c>
      <c r="E55" s="22" t="s">
        <v>132</v>
      </c>
      <c r="F55" s="22" t="s">
        <v>575</v>
      </c>
      <c r="G55" s="22" t="s">
        <v>114</v>
      </c>
      <c r="H55" s="24" t="s">
        <v>364</v>
      </c>
    </row>
    <row r="56" spans="1:8">
      <c r="A56" s="22">
        <v>54</v>
      </c>
      <c r="B56" s="23">
        <f t="shared" si="4"/>
        <v>725</v>
      </c>
      <c r="C56" s="23" t="str">
        <f t="shared" si="5"/>
        <v>02D5</v>
      </c>
      <c r="E56" s="22" t="s">
        <v>132</v>
      </c>
      <c r="F56" s="22" t="s">
        <v>576</v>
      </c>
      <c r="G56" s="22" t="s">
        <v>114</v>
      </c>
      <c r="H56" s="24" t="s">
        <v>364</v>
      </c>
    </row>
    <row r="57" spans="1:8">
      <c r="A57" s="22">
        <v>55</v>
      </c>
      <c r="B57" s="23">
        <f t="shared" si="4"/>
        <v>726</v>
      </c>
      <c r="C57" s="23" t="str">
        <f t="shared" si="5"/>
        <v>02D6</v>
      </c>
    </row>
    <row r="58" spans="1:8">
      <c r="A58" s="22">
        <v>56</v>
      </c>
      <c r="B58" s="23">
        <f t="shared" si="4"/>
        <v>727</v>
      </c>
      <c r="C58" s="23" t="str">
        <f t="shared" si="5"/>
        <v>02D7</v>
      </c>
    </row>
    <row r="59" spans="1:8">
      <c r="A59" s="22">
        <v>57</v>
      </c>
      <c r="B59" s="23">
        <f t="shared" si="4"/>
        <v>728</v>
      </c>
      <c r="C59" s="23" t="str">
        <f t="shared" si="5"/>
        <v>02D8</v>
      </c>
    </row>
    <row r="60" spans="1:8">
      <c r="A60" s="22">
        <v>58</v>
      </c>
      <c r="B60" s="23">
        <f t="shared" si="4"/>
        <v>729</v>
      </c>
      <c r="C60" s="23" t="str">
        <f t="shared" si="5"/>
        <v>02D9</v>
      </c>
    </row>
    <row r="61" spans="1:8">
      <c r="A61" s="22">
        <v>59</v>
      </c>
      <c r="B61" s="23">
        <f t="shared" si="4"/>
        <v>730</v>
      </c>
      <c r="C61" s="23" t="str">
        <f t="shared" si="5"/>
        <v>02DA</v>
      </c>
    </row>
    <row r="62" spans="1:8">
      <c r="A62" s="22">
        <v>60</v>
      </c>
      <c r="B62" s="23">
        <f t="shared" si="4"/>
        <v>731</v>
      </c>
      <c r="C62" s="23" t="str">
        <f t="shared" si="5"/>
        <v>02DB</v>
      </c>
    </row>
    <row r="63" spans="1:8">
      <c r="A63" s="22">
        <v>61</v>
      </c>
      <c r="B63" s="23">
        <f t="shared" si="4"/>
        <v>732</v>
      </c>
      <c r="C63" s="23" t="str">
        <f t="shared" si="5"/>
        <v>02DC</v>
      </c>
    </row>
    <row r="64" spans="1:8">
      <c r="A64" s="22">
        <v>62</v>
      </c>
      <c r="B64" s="23">
        <f t="shared" si="4"/>
        <v>733</v>
      </c>
      <c r="C64" s="23" t="str">
        <f t="shared" si="5"/>
        <v>02DD</v>
      </c>
    </row>
    <row r="65" spans="1:3">
      <c r="A65" s="22">
        <v>63</v>
      </c>
      <c r="B65" s="23">
        <f t="shared" si="4"/>
        <v>734</v>
      </c>
      <c r="C65" s="23" t="str">
        <f t="shared" si="5"/>
        <v>02DE</v>
      </c>
    </row>
    <row r="66" spans="1:3">
      <c r="A66" s="22">
        <v>64</v>
      </c>
      <c r="B66" s="23">
        <f t="shared" si="4"/>
        <v>735</v>
      </c>
      <c r="C66" s="23" t="str">
        <f t="shared" si="5"/>
        <v>02DF</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K22"/>
  <sheetViews>
    <sheetView zoomScale="130" zoomScaleNormal="130" workbookViewId="0">
      <selection activeCell="I67" sqref="I67"/>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6.28515625" customWidth="1"/>
    <col min="8" max="8" width="5.5703125" customWidth="1"/>
    <col min="9" max="9" width="12.8554687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800</v>
      </c>
      <c r="C2" s="22" t="s">
        <v>577</v>
      </c>
      <c r="D2" s="22"/>
      <c r="E2" s="22"/>
      <c r="F2" s="22" t="s">
        <v>578</v>
      </c>
      <c r="G2" s="22"/>
    </row>
    <row r="3" spans="1:11">
      <c r="A3" s="22">
        <v>1</v>
      </c>
      <c r="B3" s="23">
        <f>$B$2+A3-1</f>
        <v>800</v>
      </c>
      <c r="C3" s="23" t="str">
        <f t="shared" ref="C3:C6" si="0">DEC2HEX(B3,4)</f>
        <v>0320</v>
      </c>
      <c r="D3" s="22"/>
      <c r="E3" s="22" t="s">
        <v>132</v>
      </c>
      <c r="F3" s="22" t="s">
        <v>579</v>
      </c>
      <c r="G3" s="22"/>
      <c r="H3" t="s">
        <v>299</v>
      </c>
    </row>
    <row r="4" spans="1:11">
      <c r="A4" s="22">
        <v>2</v>
      </c>
      <c r="B4" s="23">
        <f>$B$2+A4-1</f>
        <v>801</v>
      </c>
      <c r="C4" s="23" t="str">
        <f t="shared" si="0"/>
        <v>0321</v>
      </c>
      <c r="D4" s="22"/>
      <c r="E4" s="22" t="s">
        <v>132</v>
      </c>
      <c r="F4" s="22" t="s">
        <v>580</v>
      </c>
      <c r="G4" s="22"/>
      <c r="I4" t="s">
        <v>581</v>
      </c>
    </row>
    <row r="5" spans="1:11">
      <c r="A5" s="22">
        <v>3</v>
      </c>
      <c r="B5" s="23">
        <f>$B$2+A5-1</f>
        <v>802</v>
      </c>
      <c r="C5" s="23" t="str">
        <f t="shared" si="0"/>
        <v>0322</v>
      </c>
      <c r="D5" s="22"/>
      <c r="E5" s="22"/>
      <c r="F5" s="22"/>
      <c r="G5" s="22"/>
    </row>
    <row r="6" spans="1:11">
      <c r="A6" s="22">
        <v>4</v>
      </c>
      <c r="B6" s="23">
        <f>$B$2+A6-1</f>
        <v>803</v>
      </c>
      <c r="C6" s="23" t="str">
        <f t="shared" si="0"/>
        <v>0323</v>
      </c>
      <c r="D6" s="22"/>
      <c r="E6" s="22"/>
      <c r="F6" s="22"/>
      <c r="G6" s="22"/>
    </row>
    <row r="7" spans="1:11">
      <c r="A7" s="22"/>
      <c r="B7" s="23"/>
      <c r="C7" s="23"/>
      <c r="D7" s="22"/>
      <c r="E7" s="22"/>
      <c r="F7" s="22"/>
      <c r="G7" s="22"/>
    </row>
    <row r="8" spans="1:11">
      <c r="A8" s="22"/>
      <c r="B8" s="23"/>
      <c r="C8" s="23"/>
      <c r="D8" s="22"/>
      <c r="E8" s="22"/>
      <c r="F8" s="22"/>
      <c r="G8" s="22"/>
    </row>
    <row r="9" spans="1:11">
      <c r="A9" s="22"/>
      <c r="B9" s="23"/>
      <c r="C9" s="23"/>
    </row>
    <row r="10" spans="1:11">
      <c r="A10" s="22"/>
      <c r="B10" s="23"/>
      <c r="C10" s="23"/>
    </row>
    <row r="11" spans="1:11">
      <c r="A11" s="22"/>
      <c r="B11" s="23"/>
      <c r="C11" s="23"/>
    </row>
    <row r="12" spans="1:11">
      <c r="A12" s="22"/>
      <c r="B12" s="23"/>
      <c r="C12" s="23"/>
    </row>
    <row r="13" spans="1:11">
      <c r="A13" s="22"/>
      <c r="B13" s="23"/>
      <c r="C13" s="23"/>
    </row>
    <row r="14" spans="1:11">
      <c r="A14" s="22"/>
      <c r="B14" s="23"/>
      <c r="C14" s="23"/>
    </row>
    <row r="15" spans="1:11">
      <c r="A15" s="22"/>
      <c r="B15" s="23"/>
      <c r="C15" s="23"/>
    </row>
    <row r="16" spans="1:11">
      <c r="A16" s="22"/>
      <c r="B16" s="23"/>
      <c r="C16" s="23"/>
    </row>
    <row r="17" spans="1:3">
      <c r="A17" s="22"/>
      <c r="B17" s="23"/>
      <c r="C17" s="23"/>
    </row>
    <row r="18" spans="1:3">
      <c r="A18" s="22"/>
      <c r="B18" s="23"/>
      <c r="C18" s="23"/>
    </row>
    <row r="19" spans="1:3">
      <c r="A19" s="22"/>
      <c r="B19" s="23"/>
      <c r="C19" s="23"/>
    </row>
    <row r="20" spans="1:3">
      <c r="A20" s="22"/>
      <c r="B20" s="23"/>
      <c r="C20" s="23"/>
    </row>
    <row r="21" spans="1:3">
      <c r="A21" s="22"/>
      <c r="B21" s="23"/>
      <c r="C21" s="23"/>
    </row>
    <row r="22" spans="1:3">
      <c r="A22" s="22"/>
      <c r="B22" s="23"/>
      <c r="C22" s="2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activeCell="F11" sqref="F11"/>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6.28515625" customWidth="1"/>
    <col min="8" max="9" width="5.5703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816</v>
      </c>
      <c r="C2" s="22" t="s">
        <v>582</v>
      </c>
      <c r="D2" s="22"/>
      <c r="E2" s="22"/>
      <c r="F2" s="22" t="s">
        <v>583</v>
      </c>
      <c r="G2" s="22"/>
    </row>
    <row r="3" spans="1:11">
      <c r="A3" s="22">
        <v>1</v>
      </c>
      <c r="B3" s="23">
        <f t="shared" ref="B3:B10" si="0">$B$2+A3-1</f>
        <v>816</v>
      </c>
      <c r="C3" s="23" t="str">
        <f t="shared" ref="C3:C10" si="1">DEC2HEX(B3,4)</f>
        <v>0330</v>
      </c>
      <c r="D3" s="22"/>
      <c r="E3" s="22" t="s">
        <v>132</v>
      </c>
      <c r="F3" s="1" t="s">
        <v>584</v>
      </c>
      <c r="G3" s="22"/>
      <c r="H3" t="s">
        <v>302</v>
      </c>
    </row>
    <row r="4" spans="1:11">
      <c r="A4" s="22">
        <v>2</v>
      </c>
      <c r="B4" s="23">
        <f t="shared" si="0"/>
        <v>817</v>
      </c>
      <c r="C4" s="23" t="str">
        <f t="shared" si="1"/>
        <v>0331</v>
      </c>
      <c r="D4" s="22"/>
      <c r="E4" s="22" t="s">
        <v>132</v>
      </c>
      <c r="F4" s="1" t="s">
        <v>585</v>
      </c>
      <c r="G4" s="22"/>
      <c r="H4" t="s">
        <v>302</v>
      </c>
    </row>
    <row r="5" spans="1:11">
      <c r="A5" s="22">
        <v>3</v>
      </c>
      <c r="B5" s="23">
        <f t="shared" si="0"/>
        <v>818</v>
      </c>
      <c r="C5" s="23" t="str">
        <f t="shared" si="1"/>
        <v>0332</v>
      </c>
      <c r="D5" s="22"/>
      <c r="E5" s="22" t="s">
        <v>132</v>
      </c>
      <c r="F5" s="1" t="s">
        <v>586</v>
      </c>
      <c r="G5" s="22"/>
      <c r="H5" t="s">
        <v>302</v>
      </c>
    </row>
    <row r="6" spans="1:11">
      <c r="A6" s="22">
        <v>4</v>
      </c>
      <c r="B6" s="23">
        <f t="shared" si="0"/>
        <v>819</v>
      </c>
      <c r="C6" s="23" t="str">
        <f t="shared" si="1"/>
        <v>0333</v>
      </c>
      <c r="D6" s="22"/>
      <c r="E6" s="22" t="s">
        <v>132</v>
      </c>
      <c r="F6" s="1" t="s">
        <v>587</v>
      </c>
      <c r="G6" s="22"/>
      <c r="H6" t="s">
        <v>302</v>
      </c>
    </row>
    <row r="7" spans="1:11">
      <c r="A7" s="22">
        <v>5</v>
      </c>
      <c r="B7" s="23">
        <f t="shared" si="0"/>
        <v>820</v>
      </c>
      <c r="C7" s="23" t="str">
        <f t="shared" si="1"/>
        <v>0334</v>
      </c>
      <c r="D7" s="22"/>
      <c r="E7" s="22" t="s">
        <v>132</v>
      </c>
      <c r="F7" s="1" t="s">
        <v>588</v>
      </c>
      <c r="G7" s="22"/>
      <c r="H7" t="s">
        <v>302</v>
      </c>
    </row>
    <row r="8" spans="1:11">
      <c r="A8" s="22">
        <v>6</v>
      </c>
      <c r="B8" s="23">
        <f t="shared" si="0"/>
        <v>821</v>
      </c>
      <c r="C8" s="23" t="str">
        <f t="shared" si="1"/>
        <v>0335</v>
      </c>
      <c r="D8" s="22"/>
      <c r="E8" s="22" t="s">
        <v>132</v>
      </c>
      <c r="F8" s="22" t="s">
        <v>589</v>
      </c>
      <c r="G8" s="22"/>
      <c r="H8" t="s">
        <v>302</v>
      </c>
    </row>
    <row r="9" spans="1:11">
      <c r="A9" s="22">
        <v>7</v>
      </c>
      <c r="B9" s="23">
        <f t="shared" si="0"/>
        <v>822</v>
      </c>
      <c r="C9" s="23" t="str">
        <f t="shared" si="1"/>
        <v>0336</v>
      </c>
    </row>
    <row r="10" spans="1:11">
      <c r="A10" s="22">
        <v>8</v>
      </c>
      <c r="B10" s="23">
        <f t="shared" si="0"/>
        <v>823</v>
      </c>
      <c r="C10" s="23" t="str">
        <f t="shared" si="1"/>
        <v>0337</v>
      </c>
    </row>
    <row r="11" spans="1:11">
      <c r="A11" s="22">
        <v>9</v>
      </c>
      <c r="B11" s="23">
        <f t="shared" ref="B11:B18" si="2">$B$2+A11-1</f>
        <v>824</v>
      </c>
      <c r="C11" s="23" t="str">
        <f t="shared" ref="C11:C18" si="3">DEC2HEX(B11,4)</f>
        <v>0338</v>
      </c>
    </row>
    <row r="12" spans="1:11">
      <c r="A12" s="22">
        <v>10</v>
      </c>
      <c r="B12" s="23">
        <f t="shared" si="2"/>
        <v>825</v>
      </c>
      <c r="C12" s="23" t="str">
        <f t="shared" si="3"/>
        <v>0339</v>
      </c>
    </row>
    <row r="13" spans="1:11">
      <c r="A13" s="22">
        <v>11</v>
      </c>
      <c r="B13" s="23">
        <f t="shared" si="2"/>
        <v>826</v>
      </c>
      <c r="C13" s="23" t="str">
        <f t="shared" si="3"/>
        <v>033A</v>
      </c>
    </row>
    <row r="14" spans="1:11">
      <c r="A14" s="22">
        <v>12</v>
      </c>
      <c r="B14" s="23">
        <f t="shared" si="2"/>
        <v>827</v>
      </c>
      <c r="C14" s="23" t="str">
        <f t="shared" si="3"/>
        <v>033B</v>
      </c>
    </row>
    <row r="15" spans="1:11">
      <c r="A15" s="22">
        <v>13</v>
      </c>
      <c r="B15" s="23">
        <f t="shared" si="2"/>
        <v>828</v>
      </c>
      <c r="C15" s="23" t="str">
        <f t="shared" si="3"/>
        <v>033C</v>
      </c>
    </row>
    <row r="16" spans="1:11">
      <c r="A16" s="22">
        <v>14</v>
      </c>
      <c r="B16" s="23">
        <f t="shared" si="2"/>
        <v>829</v>
      </c>
      <c r="C16" s="23" t="str">
        <f t="shared" si="3"/>
        <v>033D</v>
      </c>
    </row>
    <row r="17" spans="1:3">
      <c r="A17" s="22">
        <v>15</v>
      </c>
      <c r="B17" s="23">
        <f t="shared" si="2"/>
        <v>830</v>
      </c>
      <c r="C17" s="23" t="str">
        <f t="shared" si="3"/>
        <v>033E</v>
      </c>
    </row>
    <row r="18" spans="1:3">
      <c r="A18" s="22">
        <v>16</v>
      </c>
      <c r="B18" s="23">
        <f t="shared" si="2"/>
        <v>831</v>
      </c>
      <c r="C18" s="23" t="str">
        <f t="shared" si="3"/>
        <v>033F</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activeCell="G24" sqref="G24"/>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28.5703125" customWidth="1"/>
    <col min="8" max="8" width="43.5703125" customWidth="1"/>
    <col min="9" max="9" width="5.5703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848</v>
      </c>
      <c r="C2" s="22" t="s">
        <v>590</v>
      </c>
      <c r="D2" s="22"/>
      <c r="E2" s="22"/>
      <c r="F2" s="22" t="s">
        <v>591</v>
      </c>
      <c r="G2" s="22"/>
    </row>
    <row r="3" spans="1:11" ht="120">
      <c r="A3" s="22">
        <v>1</v>
      </c>
      <c r="B3" s="23">
        <f t="shared" ref="B3:B10" si="0">$B$2+A3-1</f>
        <v>848</v>
      </c>
      <c r="C3" s="23" t="str">
        <f t="shared" ref="C3:C10" si="1">DEC2HEX(B3,4)</f>
        <v>0350</v>
      </c>
      <c r="D3" s="22"/>
      <c r="E3" s="22" t="s">
        <v>132</v>
      </c>
      <c r="F3" s="48" t="s">
        <v>592</v>
      </c>
      <c r="G3" s="48"/>
      <c r="H3" s="21" t="s">
        <v>593</v>
      </c>
    </row>
    <row r="4" spans="1:11" ht="195">
      <c r="A4" s="22">
        <v>2</v>
      </c>
      <c r="B4" s="23">
        <f t="shared" si="0"/>
        <v>849</v>
      </c>
      <c r="C4" s="23" t="str">
        <f t="shared" si="1"/>
        <v>0351</v>
      </c>
      <c r="D4" s="22"/>
      <c r="E4" s="22" t="s">
        <v>132</v>
      </c>
      <c r="F4" s="48" t="s">
        <v>594</v>
      </c>
      <c r="G4" s="48"/>
      <c r="H4" s="21" t="s">
        <v>595</v>
      </c>
    </row>
    <row r="5" spans="1:11">
      <c r="A5" s="22">
        <v>3</v>
      </c>
      <c r="B5" s="23">
        <f t="shared" si="0"/>
        <v>850</v>
      </c>
      <c r="C5" s="23" t="str">
        <f t="shared" si="1"/>
        <v>0352</v>
      </c>
      <c r="D5" s="22"/>
      <c r="E5" s="22" t="s">
        <v>132</v>
      </c>
      <c r="F5" s="48" t="s">
        <v>596</v>
      </c>
      <c r="G5" s="48"/>
      <c r="H5" t="s">
        <v>597</v>
      </c>
    </row>
    <row r="6" spans="1:11">
      <c r="A6" s="22">
        <v>4</v>
      </c>
      <c r="B6" s="23">
        <f t="shared" si="0"/>
        <v>851</v>
      </c>
      <c r="C6" s="23" t="str">
        <f t="shared" si="1"/>
        <v>0353</v>
      </c>
      <c r="D6" s="22"/>
      <c r="E6" s="22" t="s">
        <v>132</v>
      </c>
      <c r="F6" s="48" t="s">
        <v>598</v>
      </c>
      <c r="G6" s="48"/>
      <c r="H6" t="s">
        <v>597</v>
      </c>
    </row>
    <row r="7" spans="1:11">
      <c r="A7" s="22">
        <v>5</v>
      </c>
      <c r="B7" s="23">
        <f t="shared" si="0"/>
        <v>852</v>
      </c>
      <c r="C7" s="23" t="str">
        <f t="shared" si="1"/>
        <v>0354</v>
      </c>
      <c r="D7" s="22"/>
      <c r="E7" s="22" t="s">
        <v>132</v>
      </c>
      <c r="F7" s="48" t="s">
        <v>592</v>
      </c>
      <c r="G7" s="48"/>
      <c r="H7" t="s">
        <v>597</v>
      </c>
    </row>
    <row r="8" spans="1:11" ht="25.5">
      <c r="A8" s="22">
        <v>6</v>
      </c>
      <c r="B8" s="23">
        <f t="shared" si="0"/>
        <v>853</v>
      </c>
      <c r="C8" s="23" t="str">
        <f t="shared" si="1"/>
        <v>0355</v>
      </c>
      <c r="D8" s="22"/>
      <c r="E8" s="22" t="s">
        <v>132</v>
      </c>
      <c r="F8" s="48" t="s">
        <v>599</v>
      </c>
      <c r="G8" s="48"/>
      <c r="H8" t="s">
        <v>597</v>
      </c>
    </row>
    <row r="9" spans="1:11">
      <c r="A9" s="22">
        <v>7</v>
      </c>
      <c r="B9" s="23">
        <f t="shared" si="0"/>
        <v>854</v>
      </c>
      <c r="C9" s="23" t="str">
        <f t="shared" si="1"/>
        <v>0356</v>
      </c>
      <c r="E9" s="22" t="s">
        <v>132</v>
      </c>
      <c r="F9" s="48" t="s">
        <v>596</v>
      </c>
      <c r="G9" s="48"/>
      <c r="H9" t="s">
        <v>597</v>
      </c>
    </row>
    <row r="10" spans="1:11" ht="25.5">
      <c r="A10" s="22">
        <v>8</v>
      </c>
      <c r="B10" s="23">
        <f t="shared" si="0"/>
        <v>855</v>
      </c>
      <c r="C10" s="23" t="str">
        <f t="shared" si="1"/>
        <v>0357</v>
      </c>
      <c r="E10" s="22" t="s">
        <v>132</v>
      </c>
      <c r="F10" s="48" t="s">
        <v>600</v>
      </c>
      <c r="G10" s="48"/>
      <c r="H10" t="s">
        <v>597</v>
      </c>
    </row>
    <row r="11" spans="1:11">
      <c r="A11" s="22">
        <v>9</v>
      </c>
      <c r="B11" s="23">
        <f t="shared" ref="B11:B18" si="2">$B$2+A11-1</f>
        <v>856</v>
      </c>
      <c r="C11" s="23" t="str">
        <f t="shared" ref="C11:C18" si="3">DEC2HEX(B11,4)</f>
        <v>0358</v>
      </c>
      <c r="E11" s="22"/>
    </row>
    <row r="12" spans="1:11">
      <c r="A12" s="22">
        <v>10</v>
      </c>
      <c r="B12" s="23">
        <f t="shared" si="2"/>
        <v>857</v>
      </c>
      <c r="C12" s="23" t="str">
        <f t="shared" si="3"/>
        <v>0359</v>
      </c>
    </row>
    <row r="13" spans="1:11">
      <c r="A13" s="22">
        <v>11</v>
      </c>
      <c r="B13" s="23">
        <f t="shared" si="2"/>
        <v>858</v>
      </c>
      <c r="C13" s="23" t="str">
        <f t="shared" si="3"/>
        <v>035A</v>
      </c>
      <c r="E13" s="3"/>
      <c r="F13" s="3"/>
      <c r="G13" s="3"/>
      <c r="H13" s="21"/>
    </row>
    <row r="14" spans="1:11">
      <c r="A14" s="22">
        <v>12</v>
      </c>
      <c r="B14" s="23">
        <f t="shared" si="2"/>
        <v>859</v>
      </c>
      <c r="C14" s="23" t="str">
        <f t="shared" si="3"/>
        <v>035B</v>
      </c>
    </row>
    <row r="15" spans="1:11">
      <c r="A15" s="22">
        <v>13</v>
      </c>
      <c r="B15" s="23">
        <f t="shared" si="2"/>
        <v>860</v>
      </c>
      <c r="C15" s="23" t="str">
        <f t="shared" si="3"/>
        <v>035C</v>
      </c>
    </row>
    <row r="16" spans="1:11">
      <c r="A16" s="22">
        <v>14</v>
      </c>
      <c r="B16" s="23">
        <f t="shared" si="2"/>
        <v>861</v>
      </c>
      <c r="C16" s="23" t="str">
        <f t="shared" si="3"/>
        <v>035D</v>
      </c>
    </row>
    <row r="17" spans="1:3">
      <c r="A17" s="22">
        <v>15</v>
      </c>
      <c r="B17" s="23">
        <f t="shared" si="2"/>
        <v>862</v>
      </c>
      <c r="C17" s="23" t="str">
        <f t="shared" si="3"/>
        <v>035E</v>
      </c>
    </row>
    <row r="18" spans="1:3">
      <c r="A18" s="22">
        <v>16</v>
      </c>
      <c r="B18" s="23">
        <f t="shared" si="2"/>
        <v>863</v>
      </c>
      <c r="C18" s="23" t="str">
        <f t="shared" si="3"/>
        <v>035F</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
  <sheetViews>
    <sheetView workbookViewId="0">
      <selection activeCell="I67" sqref="I67"/>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7" width="16.28515625" customWidth="1"/>
    <col min="8" max="9" width="5.5703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864</v>
      </c>
      <c r="C2" s="22" t="s">
        <v>601</v>
      </c>
      <c r="D2" s="22"/>
      <c r="E2" s="22"/>
      <c r="F2" s="22" t="s">
        <v>602</v>
      </c>
      <c r="G2" s="22"/>
    </row>
    <row r="3" spans="1:11">
      <c r="A3" s="22">
        <v>1</v>
      </c>
      <c r="B3" s="23">
        <f t="shared" ref="B3:B10" si="0">$B$2+A3-1</f>
        <v>864</v>
      </c>
      <c r="C3" s="23" t="str">
        <f t="shared" ref="C3:C10" si="1">DEC2HEX(B3,4)</f>
        <v>0360</v>
      </c>
      <c r="D3" s="22"/>
      <c r="E3" s="22" t="s">
        <v>132</v>
      </c>
      <c r="F3" s="23" t="s">
        <v>603</v>
      </c>
      <c r="G3" s="23"/>
    </row>
    <row r="4" spans="1:11">
      <c r="A4" s="22">
        <v>2</v>
      </c>
      <c r="B4" s="23">
        <f t="shared" si="0"/>
        <v>865</v>
      </c>
      <c r="C4" s="23" t="str">
        <f t="shared" si="1"/>
        <v>0361</v>
      </c>
      <c r="D4" s="22"/>
      <c r="E4" s="22" t="s">
        <v>132</v>
      </c>
      <c r="F4" s="22" t="s">
        <v>604</v>
      </c>
      <c r="G4" s="22"/>
    </row>
    <row r="5" spans="1:11">
      <c r="A5" s="22">
        <v>3</v>
      </c>
      <c r="B5" s="23">
        <f t="shared" si="0"/>
        <v>866</v>
      </c>
      <c r="C5" s="23" t="str">
        <f t="shared" si="1"/>
        <v>0362</v>
      </c>
      <c r="D5" s="22"/>
      <c r="E5" s="22" t="s">
        <v>132</v>
      </c>
      <c r="F5" s="22" t="s">
        <v>605</v>
      </c>
      <c r="G5" s="22"/>
    </row>
    <row r="6" spans="1:11">
      <c r="A6" s="22">
        <v>4</v>
      </c>
      <c r="B6" s="23">
        <f t="shared" si="0"/>
        <v>867</v>
      </c>
      <c r="C6" s="23" t="str">
        <f t="shared" si="1"/>
        <v>0363</v>
      </c>
      <c r="D6" s="22"/>
      <c r="E6" s="22" t="s">
        <v>132</v>
      </c>
      <c r="F6" s="22" t="s">
        <v>606</v>
      </c>
      <c r="G6" s="22"/>
    </row>
    <row r="7" spans="1:11">
      <c r="A7" s="22">
        <v>5</v>
      </c>
      <c r="B7" s="23">
        <f t="shared" si="0"/>
        <v>868</v>
      </c>
      <c r="C7" s="23" t="str">
        <f t="shared" si="1"/>
        <v>0364</v>
      </c>
      <c r="D7" s="22"/>
      <c r="E7" s="22" t="s">
        <v>132</v>
      </c>
      <c r="F7" s="22" t="s">
        <v>607</v>
      </c>
      <c r="G7" s="22"/>
    </row>
    <row r="8" spans="1:11">
      <c r="A8" s="22">
        <v>6</v>
      </c>
      <c r="B8" s="23">
        <f t="shared" si="0"/>
        <v>869</v>
      </c>
      <c r="C8" s="23" t="str">
        <f t="shared" si="1"/>
        <v>0365</v>
      </c>
      <c r="D8" s="22"/>
      <c r="E8" s="22" t="s">
        <v>132</v>
      </c>
      <c r="F8" s="22" t="s">
        <v>608</v>
      </c>
      <c r="G8" s="22"/>
    </row>
    <row r="9" spans="1:11">
      <c r="A9" s="22">
        <v>7</v>
      </c>
      <c r="B9" s="23">
        <f t="shared" si="0"/>
        <v>870</v>
      </c>
      <c r="C9" s="23" t="str">
        <f t="shared" si="1"/>
        <v>0366</v>
      </c>
    </row>
    <row r="10" spans="1:11">
      <c r="A10" s="22">
        <v>8</v>
      </c>
      <c r="B10" s="23">
        <f t="shared" si="0"/>
        <v>871</v>
      </c>
      <c r="C10" s="23" t="str">
        <f t="shared" si="1"/>
        <v>0367</v>
      </c>
    </row>
    <row r="11" spans="1:11">
      <c r="A11" s="22"/>
      <c r="B11" s="23"/>
      <c r="C11" s="23"/>
    </row>
    <row r="12" spans="1:11">
      <c r="A12" s="22"/>
      <c r="B12" s="23"/>
      <c r="C12" s="23"/>
    </row>
    <row r="13" spans="1:11">
      <c r="A13" s="22"/>
      <c r="B13" s="23"/>
      <c r="C13" s="23"/>
    </row>
    <row r="14" spans="1:11">
      <c r="A14" s="22"/>
      <c r="B14" s="23"/>
      <c r="C14" s="23"/>
    </row>
    <row r="15" spans="1:11">
      <c r="A15" s="22"/>
      <c r="B15" s="23"/>
      <c r="C15" s="23"/>
    </row>
    <row r="16" spans="1:11">
      <c r="A16" s="22"/>
      <c r="B16" s="23"/>
      <c r="C16" s="23"/>
    </row>
    <row r="17" spans="1:7">
      <c r="A17" s="22"/>
      <c r="B17" s="23"/>
      <c r="C17" s="23"/>
    </row>
    <row r="18" spans="1:7">
      <c r="A18" s="22"/>
      <c r="B18" s="23"/>
      <c r="C18" s="23"/>
    </row>
    <row r="19" spans="1:7">
      <c r="A19" s="22"/>
      <c r="B19" s="23"/>
      <c r="C19" s="23"/>
      <c r="F19" s="23"/>
    </row>
    <row r="20" spans="1:7">
      <c r="A20" s="22"/>
      <c r="B20" s="23"/>
      <c r="C20" s="23"/>
      <c r="F20" s="22"/>
    </row>
    <row r="21" spans="1:7">
      <c r="A21" s="22"/>
      <c r="B21" s="23"/>
      <c r="C21" s="23"/>
      <c r="F21" s="22"/>
    </row>
    <row r="22" spans="1:7">
      <c r="A22" s="22"/>
      <c r="B22" s="23"/>
      <c r="C22" s="23"/>
      <c r="F22" s="22"/>
    </row>
    <row r="23" spans="1:7">
      <c r="A23" s="22"/>
      <c r="B23" s="23"/>
      <c r="C23" s="23"/>
      <c r="F23" s="22"/>
    </row>
    <row r="24" spans="1:7">
      <c r="A24" s="22"/>
      <c r="B24" s="23"/>
      <c r="C24" s="23"/>
      <c r="F24" s="22"/>
    </row>
    <row r="25" spans="1:7">
      <c r="A25" s="22"/>
      <c r="B25" s="23"/>
      <c r="C25" s="23"/>
      <c r="F25" s="23"/>
    </row>
    <row r="26" spans="1:7">
      <c r="A26" s="22"/>
      <c r="B26" s="23"/>
      <c r="C26" s="23"/>
      <c r="F26" s="23"/>
      <c r="G26" s="29"/>
    </row>
    <row r="27" spans="1:7">
      <c r="A27" s="22"/>
      <c r="B27" s="23"/>
      <c r="C27" s="23"/>
      <c r="F27" s="23"/>
    </row>
    <row r="28" spans="1:7">
      <c r="A28" s="22"/>
      <c r="B28" s="23"/>
      <c r="C28" s="23"/>
      <c r="F28" s="22"/>
    </row>
    <row r="29" spans="1:7">
      <c r="A29" s="22"/>
      <c r="B29" s="23"/>
      <c r="C29" s="23"/>
      <c r="F29" s="22"/>
    </row>
    <row r="30" spans="1:7">
      <c r="A30" s="22"/>
      <c r="B30" s="23"/>
      <c r="C30" s="23"/>
      <c r="F30" s="22"/>
    </row>
    <row r="31" spans="1:7">
      <c r="A31" s="22"/>
      <c r="B31" s="23"/>
      <c r="C31" s="23"/>
      <c r="F31" s="22"/>
    </row>
    <row r="32" spans="1:7">
      <c r="A32" s="22"/>
      <c r="B32" s="23"/>
      <c r="C32" s="23"/>
      <c r="F32" s="22"/>
    </row>
    <row r="33" spans="1:7">
      <c r="A33" s="22"/>
      <c r="B33" s="23"/>
      <c r="C33" s="23"/>
      <c r="F33" s="23"/>
    </row>
    <row r="34" spans="1:7">
      <c r="A34" s="22"/>
      <c r="B34" s="23"/>
      <c r="C34" s="23"/>
      <c r="F34" s="23"/>
      <c r="G34" s="29"/>
    </row>
    <row r="35" spans="1:7">
      <c r="A35" s="22"/>
      <c r="B35" s="23"/>
      <c r="C35" s="23"/>
      <c r="F35" s="23"/>
    </row>
    <row r="36" spans="1:7">
      <c r="A36" s="22"/>
      <c r="B36" s="23"/>
      <c r="C36" s="23"/>
      <c r="F36" s="22"/>
    </row>
    <row r="37" spans="1:7">
      <c r="A37" s="22"/>
      <c r="B37" s="23"/>
      <c r="C37" s="23"/>
      <c r="F37" s="22"/>
    </row>
    <row r="38" spans="1:7">
      <c r="A38" s="22"/>
      <c r="B38" s="23"/>
      <c r="C38" s="23"/>
      <c r="F38" s="22"/>
    </row>
    <row r="39" spans="1:7">
      <c r="A39" s="22"/>
      <c r="B39" s="23"/>
      <c r="C39" s="23"/>
      <c r="F39" s="22"/>
    </row>
    <row r="40" spans="1:7">
      <c r="A40" s="22"/>
      <c r="B40" s="23"/>
      <c r="C40" s="23"/>
      <c r="F40" s="22"/>
    </row>
    <row r="41" spans="1:7">
      <c r="A41" s="22"/>
      <c r="B41" s="23"/>
      <c r="C41" s="23"/>
      <c r="F41" s="23"/>
    </row>
    <row r="42" spans="1:7">
      <c r="A42" s="22"/>
      <c r="B42" s="23"/>
      <c r="C42" s="23"/>
      <c r="F42" s="23"/>
      <c r="G42" s="29"/>
    </row>
    <row r="43" spans="1:7">
      <c r="A43" s="22"/>
      <c r="B43" s="23"/>
      <c r="C43" s="23"/>
      <c r="F43" s="23"/>
    </row>
    <row r="44" spans="1:7">
      <c r="A44" s="22"/>
      <c r="B44" s="23"/>
      <c r="C44" s="23"/>
      <c r="F44" s="22"/>
    </row>
    <row r="45" spans="1:7">
      <c r="A45" s="22"/>
      <c r="B45" s="23"/>
      <c r="C45" s="23"/>
      <c r="F45" s="22"/>
    </row>
    <row r="46" spans="1:7">
      <c r="A46" s="22"/>
      <c r="B46" s="23"/>
      <c r="C46" s="23"/>
      <c r="F46" s="22"/>
    </row>
    <row r="47" spans="1:7">
      <c r="A47" s="22"/>
      <c r="B47" s="23"/>
      <c r="C47" s="23"/>
      <c r="F47" s="22"/>
    </row>
    <row r="48" spans="1:7">
      <c r="A48" s="22"/>
      <c r="B48" s="23"/>
      <c r="C48" s="23"/>
      <c r="F48" s="22"/>
    </row>
    <row r="49" spans="1:7">
      <c r="A49" s="22"/>
      <c r="B49" s="23"/>
      <c r="C49" s="23"/>
      <c r="F49" s="23"/>
    </row>
    <row r="50" spans="1:7">
      <c r="A50" s="22"/>
      <c r="B50" s="23"/>
      <c r="C50" s="23"/>
      <c r="F50" s="23"/>
      <c r="G50" s="29"/>
    </row>
    <row r="51" spans="1:7">
      <c r="A51" s="22"/>
      <c r="B51" s="23"/>
      <c r="C51" s="23"/>
      <c r="F51" s="23"/>
    </row>
    <row r="52" spans="1:7">
      <c r="A52" s="22"/>
      <c r="B52" s="23"/>
      <c r="C52" s="23"/>
      <c r="F52" s="22"/>
    </row>
    <row r="53" spans="1:7">
      <c r="A53" s="22"/>
      <c r="B53" s="23"/>
      <c r="C53" s="23"/>
      <c r="F53" s="22"/>
    </row>
    <row r="54" spans="1:7">
      <c r="A54" s="22"/>
      <c r="B54" s="23"/>
      <c r="C54" s="23"/>
      <c r="F54" s="22"/>
    </row>
    <row r="55" spans="1:7">
      <c r="A55" s="22"/>
      <c r="B55" s="23"/>
      <c r="C55" s="23"/>
      <c r="F55" s="22"/>
    </row>
    <row r="56" spans="1:7">
      <c r="A56" s="22"/>
      <c r="B56" s="23"/>
      <c r="C56" s="23"/>
      <c r="F56" s="22"/>
    </row>
    <row r="57" spans="1:7">
      <c r="A57" s="22"/>
      <c r="B57" s="23"/>
      <c r="C57" s="23"/>
      <c r="F57" s="23"/>
    </row>
    <row r="58" spans="1:7">
      <c r="A58" s="22"/>
      <c r="B58" s="23"/>
      <c r="C58" s="23"/>
      <c r="F58" s="23"/>
      <c r="G58" s="29"/>
    </row>
    <row r="59" spans="1:7">
      <c r="A59" s="22"/>
      <c r="B59" s="23"/>
      <c r="C59" s="23"/>
      <c r="F59" s="23"/>
    </row>
    <row r="60" spans="1:7">
      <c r="A60" s="22"/>
      <c r="B60" s="23"/>
      <c r="C60" s="23"/>
      <c r="F60" s="22"/>
    </row>
    <row r="61" spans="1:7">
      <c r="A61" s="22"/>
      <c r="B61" s="23"/>
      <c r="C61" s="23"/>
      <c r="F61" s="22"/>
    </row>
    <row r="62" spans="1:7">
      <c r="A62" s="22"/>
      <c r="B62" s="23"/>
      <c r="C62" s="23"/>
      <c r="F62" s="22"/>
    </row>
    <row r="63" spans="1:7">
      <c r="A63" s="22"/>
      <c r="B63" s="23"/>
      <c r="C63" s="23"/>
      <c r="F63" s="22"/>
    </row>
    <row r="64" spans="1:7">
      <c r="A64" s="22"/>
      <c r="B64" s="23"/>
      <c r="C64" s="23"/>
      <c r="F64" s="22"/>
    </row>
    <row r="65" spans="1:7">
      <c r="A65" s="22"/>
      <c r="B65" s="23"/>
      <c r="C65" s="23"/>
      <c r="F65" s="23"/>
    </row>
    <row r="66" spans="1:7">
      <c r="A66" s="22"/>
      <c r="B66" s="23"/>
      <c r="C66" s="23"/>
      <c r="F66" s="23"/>
      <c r="G66" s="29"/>
    </row>
    <row r="67" spans="1:7">
      <c r="A67" s="22"/>
      <c r="B67" s="23"/>
      <c r="C67" s="23"/>
      <c r="F67" s="23"/>
    </row>
    <row r="68" spans="1:7">
      <c r="A68" s="22"/>
      <c r="B68" s="23"/>
      <c r="C68" s="23"/>
      <c r="F68" s="22"/>
    </row>
    <row r="69" spans="1:7">
      <c r="A69" s="22"/>
      <c r="B69" s="23"/>
      <c r="C69" s="23"/>
      <c r="F69" s="22"/>
    </row>
    <row r="70" spans="1:7">
      <c r="A70" s="22"/>
      <c r="B70" s="23"/>
      <c r="C70" s="23"/>
      <c r="F70" s="22"/>
    </row>
    <row r="71" spans="1:7">
      <c r="A71" s="22"/>
      <c r="B71" s="23"/>
      <c r="C71" s="23"/>
      <c r="F71" s="22"/>
    </row>
    <row r="72" spans="1:7">
      <c r="A72" s="22"/>
      <c r="B72" s="23"/>
      <c r="C72" s="23"/>
      <c r="F72" s="22"/>
    </row>
    <row r="73" spans="1:7">
      <c r="A73" s="22"/>
      <c r="B73" s="23"/>
      <c r="C73" s="23"/>
      <c r="F73" s="23"/>
    </row>
    <row r="74" spans="1:7">
      <c r="A74" s="22"/>
      <c r="B74" s="23"/>
      <c r="C74" s="23"/>
      <c r="F74" s="23"/>
      <c r="G74" s="29"/>
    </row>
    <row r="75" spans="1:7">
      <c r="A75" s="22"/>
      <c r="B75" s="23"/>
      <c r="C75" s="23"/>
      <c r="F75" s="23"/>
    </row>
    <row r="76" spans="1:7">
      <c r="A76" s="22"/>
      <c r="B76" s="23"/>
      <c r="C76" s="23"/>
      <c r="F76" s="22"/>
    </row>
    <row r="77" spans="1:7">
      <c r="A77" s="22"/>
      <c r="B77" s="23"/>
      <c r="C77" s="23"/>
      <c r="F77" s="22"/>
    </row>
    <row r="78" spans="1:7">
      <c r="A78" s="22"/>
      <c r="B78" s="23"/>
      <c r="C78" s="23"/>
      <c r="F78" s="22"/>
    </row>
    <row r="79" spans="1:7">
      <c r="A79" s="22"/>
      <c r="B79" s="23"/>
      <c r="C79" s="23"/>
      <c r="F79" s="22"/>
    </row>
    <row r="80" spans="1:7">
      <c r="A80" s="22"/>
      <c r="B80" s="23"/>
      <c r="C80" s="23"/>
      <c r="F80" s="22"/>
    </row>
    <row r="81" spans="1:7">
      <c r="A81" s="22"/>
      <c r="B81" s="23"/>
      <c r="C81" s="23"/>
      <c r="F81" s="23"/>
    </row>
    <row r="82" spans="1:7">
      <c r="A82" s="22"/>
      <c r="B82" s="23"/>
      <c r="C82" s="23"/>
      <c r="F82" s="23"/>
      <c r="G82" s="29"/>
    </row>
    <row r="83" spans="1:7">
      <c r="A83" s="22"/>
      <c r="B83" s="23"/>
      <c r="C83" s="23"/>
      <c r="F83" s="23"/>
    </row>
    <row r="84" spans="1:7">
      <c r="A84" s="22"/>
      <c r="B84" s="23"/>
      <c r="C84" s="23"/>
      <c r="F84" s="22"/>
    </row>
    <row r="85" spans="1:7">
      <c r="A85" s="22"/>
      <c r="B85" s="23"/>
      <c r="C85" s="23"/>
      <c r="F85" s="22"/>
    </row>
    <row r="86" spans="1:7">
      <c r="A86" s="22"/>
      <c r="B86" s="23"/>
      <c r="C86" s="23"/>
      <c r="F86" s="22"/>
    </row>
    <row r="87" spans="1:7">
      <c r="A87" s="22"/>
      <c r="B87" s="23"/>
      <c r="C87" s="23"/>
      <c r="F87" s="22"/>
    </row>
    <row r="88" spans="1:7">
      <c r="A88" s="22"/>
      <c r="B88" s="23"/>
      <c r="C88" s="23"/>
      <c r="F88" s="22"/>
    </row>
    <row r="89" spans="1:7">
      <c r="A89" s="22"/>
      <c r="B89" s="23"/>
      <c r="C89" s="23"/>
      <c r="F89" s="23"/>
    </row>
    <row r="90" spans="1:7">
      <c r="A90" s="22"/>
      <c r="B90" s="23"/>
      <c r="C90" s="23"/>
      <c r="F90" s="23"/>
      <c r="G90" s="29"/>
    </row>
    <row r="91" spans="1:7">
      <c r="A91" s="22"/>
      <c r="B91" s="23"/>
      <c r="C91" s="23"/>
      <c r="F91" s="23"/>
    </row>
    <row r="92" spans="1:7">
      <c r="A92" s="22"/>
      <c r="B92" s="23"/>
      <c r="C92" s="23"/>
      <c r="F92" s="22"/>
    </row>
    <row r="93" spans="1:7">
      <c r="A93" s="22"/>
      <c r="B93" s="23"/>
      <c r="C93" s="23"/>
      <c r="F93" s="22"/>
    </row>
    <row r="94" spans="1:7">
      <c r="A94" s="22"/>
      <c r="B94" s="23"/>
      <c r="C94" s="23"/>
      <c r="F94" s="22"/>
    </row>
    <row r="95" spans="1:7">
      <c r="A95" s="22"/>
      <c r="B95" s="23"/>
      <c r="C95" s="23"/>
      <c r="F95" s="22"/>
    </row>
    <row r="96" spans="1:7">
      <c r="A96" s="22"/>
      <c r="B96" s="23"/>
      <c r="C96" s="23"/>
      <c r="F96" s="22"/>
    </row>
    <row r="97" spans="1:7">
      <c r="A97" s="22"/>
      <c r="B97" s="23"/>
      <c r="C97" s="23"/>
      <c r="F97" s="23"/>
    </row>
    <row r="98" spans="1:7">
      <c r="A98" s="22"/>
      <c r="B98" s="23"/>
      <c r="C98" s="23"/>
      <c r="F98" s="23"/>
      <c r="G98" s="29"/>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K75"/>
  <sheetViews>
    <sheetView workbookViewId="0">
      <selection activeCell="I67" sqref="I67"/>
    </sheetView>
  </sheetViews>
  <sheetFormatPr defaultColWidth="8.7109375" defaultRowHeight="15"/>
  <cols>
    <col min="6" max="7" width="15.42578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22"/>
      <c r="B2" s="22">
        <f>HEX2DEC(C2)</f>
        <v>1024</v>
      </c>
      <c r="C2" s="22" t="s">
        <v>609</v>
      </c>
      <c r="D2" s="22"/>
      <c r="E2" s="22"/>
      <c r="F2" s="22"/>
      <c r="G2" s="22"/>
      <c r="H2" s="24"/>
      <c r="I2" s="24"/>
    </row>
    <row r="3" spans="1:11">
      <c r="A3" s="22">
        <v>1</v>
      </c>
      <c r="B3" s="23">
        <f>$B$2+A3-1</f>
        <v>1024</v>
      </c>
      <c r="C3" s="23" t="str">
        <f>DEC2HEX(B3,4)</f>
        <v>0400</v>
      </c>
      <c r="D3" s="22"/>
      <c r="E3" s="1"/>
      <c r="F3" s="1"/>
      <c r="G3" s="1"/>
      <c r="H3" s="9"/>
      <c r="I3" s="9"/>
      <c r="J3" s="3"/>
      <c r="K3" s="3"/>
    </row>
    <row r="4" spans="1:11">
      <c r="A4" s="22"/>
      <c r="B4" s="23"/>
      <c r="C4" s="23"/>
      <c r="D4" s="22"/>
      <c r="E4" s="1"/>
      <c r="F4" s="1"/>
      <c r="G4" s="1"/>
      <c r="H4" s="9"/>
      <c r="I4" s="9"/>
      <c r="J4" s="3"/>
      <c r="K4" s="3"/>
    </row>
    <row r="5" spans="1:11">
      <c r="A5" s="22"/>
      <c r="B5" s="23"/>
      <c r="C5" s="23"/>
      <c r="D5" s="22"/>
      <c r="E5" s="1"/>
      <c r="F5" s="1"/>
      <c r="G5" s="1"/>
      <c r="H5" s="9"/>
      <c r="I5" s="9"/>
      <c r="J5" s="3"/>
      <c r="K5" s="3"/>
    </row>
    <row r="6" spans="1:11">
      <c r="A6" s="22"/>
      <c r="B6" s="23"/>
      <c r="C6" s="23"/>
      <c r="D6" s="22"/>
      <c r="E6" s="1"/>
      <c r="F6" s="1"/>
      <c r="G6" s="1"/>
      <c r="H6" s="9"/>
      <c r="I6" s="9"/>
      <c r="J6" s="3"/>
      <c r="K6" s="3"/>
    </row>
    <row r="7" spans="1:11">
      <c r="A7" s="22"/>
      <c r="B7" s="23"/>
      <c r="C7" s="23"/>
      <c r="D7" s="22"/>
      <c r="E7" s="1"/>
      <c r="F7" s="1"/>
      <c r="G7" s="1"/>
      <c r="H7" s="9"/>
      <c r="I7" s="9"/>
      <c r="J7" s="3"/>
      <c r="K7" s="3"/>
    </row>
    <row r="8" spans="1:11">
      <c r="A8" s="22"/>
      <c r="B8" s="23"/>
      <c r="C8" s="23"/>
      <c r="D8" s="22"/>
      <c r="E8" s="1"/>
      <c r="F8" s="1"/>
      <c r="G8" s="1"/>
      <c r="H8" s="3"/>
      <c r="I8" s="9"/>
      <c r="J8" s="3"/>
      <c r="K8" s="3"/>
    </row>
    <row r="9" spans="1:11">
      <c r="A9" s="22"/>
      <c r="B9" s="23"/>
      <c r="C9" s="23"/>
      <c r="D9" s="22"/>
      <c r="E9" s="1"/>
      <c r="F9" s="1"/>
      <c r="G9" s="1"/>
      <c r="H9" s="3"/>
      <c r="I9" s="9"/>
      <c r="J9" s="3"/>
      <c r="K9" s="3"/>
    </row>
    <row r="10" spans="1:11">
      <c r="A10" s="22"/>
      <c r="B10" s="23"/>
      <c r="C10" s="23"/>
      <c r="D10" s="22"/>
      <c r="E10" s="1"/>
      <c r="F10" s="1"/>
      <c r="G10" s="1"/>
      <c r="H10" s="9"/>
      <c r="I10" s="9"/>
      <c r="J10" s="3"/>
      <c r="K10" s="3"/>
    </row>
    <row r="11" spans="1:11">
      <c r="A11" s="22"/>
      <c r="B11" s="23"/>
      <c r="C11" s="23"/>
      <c r="D11" s="22"/>
      <c r="E11" s="1"/>
      <c r="F11" s="1"/>
      <c r="G11" s="1"/>
      <c r="H11" s="9"/>
      <c r="I11" s="9"/>
      <c r="J11" s="3"/>
      <c r="K11" s="3"/>
    </row>
    <row r="12" spans="1:11">
      <c r="A12" s="22"/>
      <c r="B12" s="23"/>
      <c r="C12" s="23"/>
      <c r="D12" s="22"/>
      <c r="E12" s="1"/>
      <c r="F12" s="1"/>
      <c r="G12" s="1"/>
      <c r="H12" s="9"/>
      <c r="I12" s="9"/>
      <c r="J12" s="3"/>
      <c r="K12" s="3"/>
    </row>
    <row r="13" spans="1:11">
      <c r="A13" s="22"/>
      <c r="B13" s="23"/>
      <c r="C13" s="23"/>
      <c r="D13" s="22"/>
      <c r="E13" s="1"/>
      <c r="F13" s="1"/>
      <c r="G13" s="1"/>
      <c r="H13" s="9"/>
      <c r="I13" s="9"/>
      <c r="J13" s="3"/>
      <c r="K13" s="3"/>
    </row>
    <row r="14" spans="1:11">
      <c r="A14" s="22"/>
      <c r="B14" s="23"/>
      <c r="C14" s="23"/>
      <c r="D14" s="22"/>
      <c r="E14" s="1"/>
      <c r="F14" s="1"/>
      <c r="G14" s="1"/>
      <c r="H14" s="9"/>
      <c r="I14" s="9"/>
      <c r="J14" s="3"/>
      <c r="K14" s="3"/>
    </row>
    <row r="15" spans="1:11">
      <c r="A15" s="22"/>
      <c r="B15" s="23"/>
      <c r="C15" s="23"/>
      <c r="D15" s="22"/>
      <c r="E15" s="1"/>
      <c r="F15" s="1"/>
      <c r="G15" s="1"/>
      <c r="H15" s="9"/>
      <c r="I15" s="9"/>
      <c r="J15" s="3"/>
      <c r="K15" s="3"/>
    </row>
    <row r="16" spans="1:11">
      <c r="A16" s="22"/>
      <c r="B16" s="23"/>
      <c r="C16" s="23"/>
      <c r="D16" s="22"/>
      <c r="E16" s="1"/>
      <c r="F16" s="1"/>
      <c r="G16" s="1"/>
      <c r="H16" s="9"/>
      <c r="I16" s="9"/>
      <c r="J16" s="3"/>
      <c r="K16" s="3"/>
    </row>
    <row r="17" spans="1:11">
      <c r="A17" s="22"/>
      <c r="B17" s="23"/>
      <c r="C17" s="23"/>
      <c r="D17" s="22"/>
      <c r="E17" s="1"/>
      <c r="F17" s="1"/>
      <c r="G17" s="1"/>
      <c r="H17" s="9"/>
      <c r="I17" s="9"/>
      <c r="J17" s="3"/>
      <c r="K17" s="3"/>
    </row>
    <row r="18" spans="1:11">
      <c r="A18" s="22"/>
      <c r="B18" s="23"/>
      <c r="C18" s="23"/>
      <c r="D18" s="22"/>
      <c r="E18" s="1"/>
      <c r="F18" s="1"/>
      <c r="G18" s="1"/>
      <c r="H18" s="9"/>
      <c r="I18" s="3"/>
      <c r="J18" s="3"/>
      <c r="K18" s="3"/>
    </row>
    <row r="19" spans="1:11">
      <c r="A19" s="22"/>
      <c r="B19" s="23"/>
      <c r="C19" s="23"/>
      <c r="D19" s="22"/>
      <c r="E19" s="1"/>
      <c r="F19" s="1"/>
      <c r="G19" s="1"/>
      <c r="H19" s="9"/>
      <c r="I19" s="3"/>
      <c r="J19" s="3"/>
      <c r="K19" s="3"/>
    </row>
    <row r="20" spans="1:11">
      <c r="A20" s="22"/>
      <c r="B20" s="23"/>
      <c r="C20" s="23"/>
      <c r="D20" s="22"/>
      <c r="E20" s="1"/>
      <c r="F20" s="1"/>
      <c r="G20" s="1"/>
      <c r="H20" s="9"/>
      <c r="I20" s="3"/>
      <c r="J20" s="3"/>
      <c r="K20" s="3"/>
    </row>
    <row r="21" spans="1:11">
      <c r="A21" s="22"/>
      <c r="B21" s="23"/>
      <c r="C21" s="23"/>
      <c r="D21" s="22"/>
      <c r="E21" s="1"/>
      <c r="F21" s="1"/>
      <c r="G21" s="1"/>
      <c r="H21" s="9"/>
      <c r="I21" s="3"/>
      <c r="J21" s="3"/>
      <c r="K21" s="3"/>
    </row>
    <row r="22" spans="1:11">
      <c r="A22" s="22"/>
      <c r="B22" s="23"/>
      <c r="C22" s="23"/>
      <c r="D22" s="22"/>
      <c r="E22" s="1"/>
      <c r="F22" s="1"/>
      <c r="G22" s="1"/>
      <c r="H22" s="9"/>
      <c r="I22" s="3"/>
      <c r="J22" s="3"/>
      <c r="K22" s="3"/>
    </row>
    <row r="23" spans="1:11">
      <c r="A23" s="22"/>
      <c r="B23" s="23"/>
      <c r="C23" s="23"/>
      <c r="D23" s="22"/>
      <c r="E23" s="1"/>
      <c r="F23" s="1"/>
      <c r="G23" s="1"/>
      <c r="H23" s="9"/>
      <c r="I23" s="3"/>
      <c r="J23" s="3"/>
      <c r="K23" s="3"/>
    </row>
    <row r="24" spans="1:11">
      <c r="A24" s="22"/>
      <c r="B24" s="23"/>
      <c r="C24" s="23"/>
      <c r="D24" s="22"/>
      <c r="E24" s="1"/>
      <c r="F24" s="1"/>
      <c r="G24" s="1"/>
      <c r="H24" s="9"/>
      <c r="I24" s="3"/>
      <c r="J24" s="3"/>
      <c r="K24" s="3"/>
    </row>
    <row r="25" spans="1:11">
      <c r="A25" s="22"/>
      <c r="B25" s="23"/>
      <c r="C25" s="23"/>
      <c r="D25" s="22"/>
      <c r="E25" s="1"/>
      <c r="F25" s="1"/>
      <c r="G25" s="1"/>
      <c r="H25" s="9"/>
      <c r="I25" s="9"/>
      <c r="J25" s="3"/>
      <c r="K25" s="3"/>
    </row>
    <row r="26" spans="1:11">
      <c r="A26" s="22"/>
      <c r="B26" s="23"/>
      <c r="C26" s="23"/>
      <c r="D26" s="22"/>
      <c r="E26" s="1"/>
      <c r="F26" s="1"/>
      <c r="G26" s="1"/>
      <c r="H26" s="9"/>
      <c r="I26" s="9"/>
      <c r="J26" s="3"/>
      <c r="K26" s="3"/>
    </row>
    <row r="27" spans="1:11">
      <c r="A27" s="22"/>
      <c r="B27" s="23"/>
      <c r="C27" s="23"/>
      <c r="D27" s="22"/>
      <c r="E27" s="1"/>
      <c r="F27" s="1"/>
      <c r="G27" s="1"/>
      <c r="H27" s="9"/>
      <c r="I27" s="9"/>
      <c r="J27" s="3"/>
      <c r="K27" s="3"/>
    </row>
    <row r="28" spans="1:11">
      <c r="A28" s="22"/>
      <c r="B28" s="23"/>
      <c r="C28" s="23"/>
      <c r="D28" s="22"/>
      <c r="E28" s="1"/>
      <c r="F28" s="1"/>
      <c r="G28" s="1"/>
      <c r="H28" s="9"/>
      <c r="I28" s="9"/>
      <c r="J28" s="3"/>
      <c r="K28" s="3"/>
    </row>
    <row r="29" spans="1:11">
      <c r="A29" s="22"/>
      <c r="B29" s="23"/>
      <c r="C29" s="23"/>
      <c r="D29" s="22"/>
      <c r="E29" s="1"/>
      <c r="F29" s="1"/>
      <c r="G29" s="1"/>
      <c r="H29" s="9"/>
      <c r="I29" s="3"/>
      <c r="J29" s="3"/>
      <c r="K29" s="3"/>
    </row>
    <row r="30" spans="1:11">
      <c r="A30" s="22"/>
      <c r="B30" s="23"/>
      <c r="C30" s="23"/>
      <c r="E30" s="1"/>
      <c r="F30" s="1"/>
      <c r="G30" s="1"/>
      <c r="H30" s="9"/>
      <c r="I30" s="3"/>
      <c r="J30" s="3"/>
      <c r="K30" s="3"/>
    </row>
    <row r="31" spans="1:11">
      <c r="A31" s="22"/>
      <c r="B31" s="23"/>
      <c r="C31" s="23"/>
      <c r="E31" s="1"/>
      <c r="F31" s="1"/>
      <c r="G31" s="1"/>
      <c r="H31" s="9"/>
      <c r="I31" s="3"/>
      <c r="J31" s="3"/>
      <c r="K31" s="3"/>
    </row>
    <row r="32" spans="1:11">
      <c r="A32" s="22"/>
      <c r="B32" s="23"/>
      <c r="C32" s="23"/>
      <c r="E32" s="1"/>
      <c r="F32" s="1"/>
      <c r="G32" s="1"/>
      <c r="H32" s="9"/>
      <c r="I32" s="3"/>
      <c r="J32" s="3"/>
      <c r="K32" s="3"/>
    </row>
    <row r="33" spans="1:11">
      <c r="A33" s="22"/>
      <c r="B33" s="23"/>
      <c r="C33" s="23"/>
      <c r="E33" s="1"/>
      <c r="F33" s="1"/>
      <c r="G33" s="1"/>
      <c r="H33" s="9"/>
      <c r="I33" s="3"/>
      <c r="J33" s="3"/>
      <c r="K33" s="3"/>
    </row>
    <row r="34" spans="1:11">
      <c r="A34" s="22"/>
      <c r="B34" s="23"/>
      <c r="C34" s="23"/>
      <c r="E34" s="1"/>
      <c r="F34" s="1"/>
      <c r="G34" s="1"/>
      <c r="H34" s="9"/>
      <c r="I34" s="3"/>
      <c r="J34" s="3"/>
      <c r="K34" s="3"/>
    </row>
    <row r="35" spans="1:11">
      <c r="A35" s="22"/>
      <c r="B35" s="23"/>
      <c r="C35" s="23"/>
      <c r="E35" s="1"/>
      <c r="F35" s="1"/>
      <c r="G35" s="1"/>
      <c r="H35" s="9"/>
      <c r="I35" s="3"/>
      <c r="J35" s="3"/>
      <c r="K35" s="3"/>
    </row>
    <row r="36" spans="1:11">
      <c r="A36" s="22"/>
      <c r="B36" s="23"/>
      <c r="C36" s="23"/>
      <c r="E36" s="1"/>
      <c r="F36" s="1"/>
      <c r="G36" s="1"/>
      <c r="H36" s="9"/>
      <c r="I36" s="3"/>
      <c r="J36" s="3"/>
      <c r="K36" s="3"/>
    </row>
    <row r="37" spans="1:11">
      <c r="A37" s="22"/>
      <c r="B37" s="23"/>
      <c r="C37" s="23"/>
      <c r="E37" s="1"/>
      <c r="F37" s="1"/>
      <c r="G37" s="1"/>
      <c r="H37" s="9"/>
      <c r="I37" s="9"/>
      <c r="J37" s="3"/>
      <c r="K37" s="3"/>
    </row>
    <row r="38" spans="1:11">
      <c r="A38" s="22"/>
      <c r="B38" s="23"/>
      <c r="C38" s="23"/>
      <c r="E38" s="1"/>
      <c r="F38" s="1"/>
      <c r="G38" s="1"/>
      <c r="H38" s="9"/>
      <c r="I38" s="9"/>
      <c r="J38" s="3"/>
      <c r="K38" s="3"/>
    </row>
    <row r="39" spans="1:11">
      <c r="A39" s="22"/>
      <c r="B39" s="23"/>
      <c r="C39" s="23"/>
      <c r="I39" s="24"/>
    </row>
    <row r="40" spans="1:11">
      <c r="A40" s="22"/>
      <c r="B40" s="23"/>
      <c r="C40" s="23"/>
      <c r="I40" s="24"/>
    </row>
    <row r="41" spans="1:11">
      <c r="A41" s="22"/>
      <c r="B41" s="23"/>
      <c r="C41" s="23"/>
      <c r="E41" s="22"/>
      <c r="F41" s="22"/>
      <c r="G41" s="22"/>
      <c r="H41" s="24"/>
      <c r="I41" s="24"/>
    </row>
    <row r="42" spans="1:11">
      <c r="A42" s="22"/>
      <c r="B42" s="23"/>
      <c r="C42" s="23"/>
      <c r="I42" s="24"/>
    </row>
    <row r="43" spans="1:11">
      <c r="A43" s="22"/>
      <c r="B43" s="23"/>
      <c r="C43" s="23"/>
      <c r="I43" s="24"/>
    </row>
    <row r="44" spans="1:11">
      <c r="A44" s="22"/>
      <c r="B44" s="23"/>
      <c r="C44" s="23"/>
      <c r="I44" s="24"/>
    </row>
    <row r="45" spans="1:11">
      <c r="A45" s="22"/>
      <c r="B45" s="23"/>
      <c r="C45" s="23"/>
      <c r="I45" s="24"/>
    </row>
    <row r="46" spans="1:11">
      <c r="A46" s="22"/>
      <c r="B46" s="23"/>
      <c r="C46" s="23"/>
      <c r="I46" s="24"/>
    </row>
    <row r="47" spans="1:11">
      <c r="A47" s="22"/>
      <c r="B47" s="23"/>
      <c r="C47" s="23"/>
      <c r="I47" s="24"/>
    </row>
    <row r="48" spans="1:11">
      <c r="A48" s="22"/>
      <c r="B48" s="23"/>
      <c r="C48" s="23"/>
      <c r="I48" s="24"/>
    </row>
    <row r="49" spans="1:9">
      <c r="A49" s="22"/>
      <c r="B49" s="23"/>
      <c r="C49" s="23"/>
      <c r="I49" s="24"/>
    </row>
    <row r="50" spans="1:9">
      <c r="A50" s="22"/>
      <c r="B50" s="23"/>
      <c r="C50" s="23"/>
    </row>
    <row r="51" spans="1:9">
      <c r="A51" s="22"/>
      <c r="B51" s="23"/>
      <c r="C51" s="23"/>
    </row>
    <row r="52" spans="1:9">
      <c r="A52" s="22"/>
      <c r="B52" s="23"/>
      <c r="C52" s="23"/>
    </row>
    <row r="53" spans="1:9">
      <c r="A53" s="22"/>
      <c r="B53" s="23"/>
      <c r="C53" s="23"/>
    </row>
    <row r="54" spans="1:9">
      <c r="A54" s="22"/>
      <c r="B54" s="23"/>
      <c r="C54" s="23"/>
    </row>
    <row r="55" spans="1:9">
      <c r="A55" s="22"/>
      <c r="B55" s="23"/>
      <c r="C55" s="23"/>
    </row>
    <row r="56" spans="1:9">
      <c r="A56" s="22"/>
      <c r="B56" s="23"/>
      <c r="C56" s="23"/>
    </row>
    <row r="57" spans="1:9">
      <c r="A57" s="22"/>
      <c r="B57" s="23"/>
      <c r="C57" s="23"/>
      <c r="E57" s="22"/>
      <c r="F57" s="22"/>
      <c r="G57" s="22"/>
      <c r="H57" s="24"/>
      <c r="I57" s="24"/>
    </row>
    <row r="58" spans="1:9">
      <c r="A58" s="22"/>
      <c r="B58" s="23"/>
      <c r="C58" s="23"/>
      <c r="E58" s="22"/>
      <c r="F58" s="22"/>
      <c r="G58" s="22"/>
      <c r="H58" s="24"/>
      <c r="I58" s="24"/>
    </row>
    <row r="59" spans="1:9">
      <c r="A59" s="22"/>
      <c r="B59" s="23"/>
      <c r="C59" s="23"/>
      <c r="E59" s="22"/>
      <c r="F59" s="22"/>
      <c r="G59" s="22"/>
      <c r="H59" s="24"/>
      <c r="I59" s="24"/>
    </row>
    <row r="60" spans="1:9">
      <c r="A60" s="22"/>
      <c r="B60" s="23"/>
      <c r="C60" s="23"/>
      <c r="E60" s="22"/>
      <c r="F60" s="22"/>
      <c r="G60" s="22"/>
      <c r="H60" s="24"/>
      <c r="I60" s="24"/>
    </row>
    <row r="61" spans="1:9">
      <c r="A61" s="22"/>
      <c r="B61" s="23"/>
      <c r="C61" s="23"/>
      <c r="E61" s="22"/>
      <c r="F61" s="22"/>
      <c r="G61" s="22"/>
      <c r="H61" s="24"/>
      <c r="I61" s="24"/>
    </row>
    <row r="62" spans="1:9">
      <c r="A62" s="22"/>
      <c r="B62" s="23"/>
      <c r="C62" s="23"/>
      <c r="E62" s="22"/>
      <c r="F62" s="22"/>
      <c r="G62" s="22"/>
      <c r="H62" s="24"/>
      <c r="I62" s="24"/>
    </row>
    <row r="63" spans="1:9">
      <c r="A63" s="22"/>
      <c r="B63" s="23"/>
      <c r="C63" s="23"/>
      <c r="E63" s="1"/>
      <c r="F63" s="1"/>
      <c r="G63" s="1"/>
      <c r="H63" s="9"/>
      <c r="I63" s="24"/>
    </row>
    <row r="64" spans="1:9">
      <c r="A64" s="22"/>
      <c r="B64" s="23"/>
      <c r="C64" s="23"/>
      <c r="E64" s="1"/>
      <c r="F64" s="1"/>
      <c r="G64" s="1"/>
      <c r="H64" s="9"/>
      <c r="I64" s="24"/>
    </row>
    <row r="65" spans="1:9">
      <c r="A65" s="22"/>
      <c r="B65" s="23"/>
      <c r="C65" s="23"/>
      <c r="E65" s="1"/>
      <c r="F65" s="1"/>
      <c r="G65" s="1"/>
      <c r="H65" s="9"/>
      <c r="I65" s="24"/>
    </row>
    <row r="66" spans="1:9">
      <c r="A66" s="22"/>
      <c r="B66" s="23"/>
      <c r="C66" s="23"/>
      <c r="E66" s="1"/>
      <c r="F66" s="1"/>
      <c r="G66" s="1"/>
      <c r="H66" s="9"/>
    </row>
    <row r="67" spans="1:9">
      <c r="E67" s="3"/>
      <c r="F67" s="3"/>
      <c r="G67" s="3"/>
      <c r="H67" s="3"/>
    </row>
    <row r="68" spans="1:9">
      <c r="E68" s="3"/>
      <c r="F68" s="3"/>
      <c r="G68" s="3"/>
      <c r="H68" s="3"/>
    </row>
    <row r="69" spans="1:9">
      <c r="E69" s="3"/>
      <c r="F69" s="3"/>
      <c r="G69" s="3"/>
      <c r="H69" s="3"/>
    </row>
    <row r="70" spans="1:9">
      <c r="E70" s="3"/>
      <c r="F70" s="3"/>
      <c r="G70" s="3"/>
      <c r="H70" s="3"/>
    </row>
    <row r="71" spans="1:9">
      <c r="E71" s="3"/>
      <c r="F71" s="3"/>
      <c r="G71" s="3"/>
      <c r="H71" s="3"/>
    </row>
    <row r="72" spans="1:9">
      <c r="E72" s="3"/>
      <c r="F72" s="3"/>
      <c r="G72" s="3"/>
      <c r="H72" s="3"/>
    </row>
    <row r="73" spans="1:9">
      <c r="E73" s="3"/>
      <c r="F73" s="3"/>
      <c r="G73" s="3"/>
      <c r="H73" s="3"/>
    </row>
    <row r="74" spans="1:9">
      <c r="E74" s="3"/>
      <c r="F74" s="3"/>
      <c r="G74" s="3"/>
      <c r="H74" s="3"/>
    </row>
    <row r="75" spans="1:9">
      <c r="E75" s="3"/>
      <c r="F75" s="3"/>
      <c r="G75" s="3"/>
      <c r="H75" s="3"/>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K52"/>
  <sheetViews>
    <sheetView zoomScale="115" zoomScaleNormal="115" workbookViewId="0">
      <selection activeCell="N28" sqref="N28"/>
    </sheetView>
  </sheetViews>
  <sheetFormatPr defaultColWidth="8.7109375" defaultRowHeight="15"/>
  <cols>
    <col min="1" max="1" width="5.5703125" customWidth="1"/>
    <col min="2" max="2" width="14" customWidth="1"/>
    <col min="3" max="3" width="5.5703125" customWidth="1"/>
    <col min="4" max="4" width="7.5703125" customWidth="1"/>
    <col min="5" max="5" width="24.140625" customWidth="1"/>
    <col min="6" max="7" width="14" customWidth="1"/>
    <col min="8" max="8" width="5.5703125" customWidth="1"/>
    <col min="9" max="9" width="34.285156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c r="A2" s="31"/>
      <c r="B2" s="22">
        <f>HEX2DEC(C2)</f>
        <v>4096</v>
      </c>
      <c r="C2" s="22" t="s">
        <v>610</v>
      </c>
      <c r="D2" s="31"/>
      <c r="E2" s="31"/>
      <c r="F2" s="22" t="s">
        <v>611</v>
      </c>
      <c r="G2" s="22"/>
      <c r="H2" s="24"/>
      <c r="I2" s="24"/>
      <c r="J2" s="31"/>
      <c r="K2" s="31"/>
    </row>
    <row r="3" spans="1:11">
      <c r="A3" s="22" t="s">
        <v>76</v>
      </c>
      <c r="B3" s="23">
        <f t="shared" ref="B3:B15" si="0">$B$2+A3-1</f>
        <v>4096</v>
      </c>
      <c r="C3" s="23" t="str">
        <f>DEC2HEX(B3,4)</f>
        <v>1000</v>
      </c>
      <c r="D3" s="22"/>
      <c r="E3" s="22" t="s">
        <v>112</v>
      </c>
      <c r="F3" s="22" t="s">
        <v>612</v>
      </c>
      <c r="G3" s="22"/>
      <c r="H3" s="24"/>
      <c r="I3" s="24" t="s">
        <v>613</v>
      </c>
      <c r="J3" s="22"/>
      <c r="K3" s="22"/>
    </row>
    <row r="4" spans="1:11">
      <c r="A4" s="22" t="s">
        <v>94</v>
      </c>
      <c r="B4" s="23">
        <f t="shared" si="0"/>
        <v>4097</v>
      </c>
      <c r="C4" s="23" t="str">
        <f t="shared" ref="C4:C15" si="1">DEC2HEX(B4,4)</f>
        <v>1001</v>
      </c>
      <c r="D4" s="22"/>
      <c r="E4" s="22" t="s">
        <v>112</v>
      </c>
      <c r="F4" s="22" t="s">
        <v>612</v>
      </c>
      <c r="G4" s="22"/>
      <c r="H4" s="24"/>
      <c r="I4" s="24" t="s">
        <v>614</v>
      </c>
      <c r="J4" s="22"/>
      <c r="K4" s="22"/>
    </row>
    <row r="5" spans="1:11">
      <c r="A5" s="22" t="s">
        <v>115</v>
      </c>
      <c r="B5" s="23">
        <f t="shared" si="0"/>
        <v>4098</v>
      </c>
      <c r="C5" s="23" t="str">
        <f t="shared" si="1"/>
        <v>1002</v>
      </c>
      <c r="D5" s="22"/>
      <c r="E5" s="22" t="s">
        <v>112</v>
      </c>
      <c r="F5" s="22" t="s">
        <v>612</v>
      </c>
      <c r="G5" s="22"/>
      <c r="H5" s="24"/>
      <c r="I5" t="s">
        <v>615</v>
      </c>
      <c r="J5" s="22"/>
      <c r="K5" s="22"/>
    </row>
    <row r="6" spans="1:11">
      <c r="A6" s="22" t="s">
        <v>116</v>
      </c>
      <c r="B6" s="23">
        <f t="shared" si="0"/>
        <v>4099</v>
      </c>
      <c r="C6" s="23" t="str">
        <f t="shared" si="1"/>
        <v>1003</v>
      </c>
      <c r="D6" s="22"/>
      <c r="E6" s="22" t="s">
        <v>112</v>
      </c>
      <c r="F6" s="22" t="s">
        <v>616</v>
      </c>
      <c r="G6" s="22"/>
      <c r="H6" s="24"/>
      <c r="I6" t="s">
        <v>617</v>
      </c>
      <c r="J6" s="22"/>
      <c r="K6" s="22"/>
    </row>
    <row r="7" spans="1:11">
      <c r="A7" s="22" t="s">
        <v>117</v>
      </c>
      <c r="B7" s="23">
        <f t="shared" si="0"/>
        <v>4100</v>
      </c>
      <c r="C7" s="23" t="str">
        <f t="shared" si="1"/>
        <v>1004</v>
      </c>
      <c r="D7" s="22"/>
      <c r="E7" s="22"/>
      <c r="F7" s="22"/>
      <c r="G7" s="22"/>
      <c r="H7" s="24"/>
      <c r="I7" s="24"/>
      <c r="J7" s="22"/>
      <c r="K7" s="22"/>
    </row>
    <row r="8" spans="1:11">
      <c r="A8" s="22" t="s">
        <v>118</v>
      </c>
      <c r="B8" s="23">
        <f t="shared" si="0"/>
        <v>4101</v>
      </c>
      <c r="C8" s="23" t="str">
        <f t="shared" si="1"/>
        <v>1005</v>
      </c>
      <c r="D8" s="22"/>
      <c r="E8" s="22"/>
      <c r="F8" s="22"/>
      <c r="G8" s="22"/>
      <c r="H8" s="24"/>
      <c r="I8" s="24"/>
      <c r="J8" s="22"/>
      <c r="K8" s="22"/>
    </row>
    <row r="9" spans="1:11">
      <c r="A9" s="22" t="s">
        <v>119</v>
      </c>
      <c r="B9" s="23">
        <f t="shared" si="0"/>
        <v>4102</v>
      </c>
      <c r="C9" s="23" t="str">
        <f t="shared" si="1"/>
        <v>1006</v>
      </c>
      <c r="D9" s="22"/>
      <c r="E9" s="22"/>
      <c r="F9" s="22"/>
      <c r="G9" s="22"/>
      <c r="H9" s="24"/>
      <c r="I9" s="24"/>
      <c r="J9" s="22"/>
      <c r="K9" s="22"/>
    </row>
    <row r="10" spans="1:11">
      <c r="A10" s="22" t="s">
        <v>120</v>
      </c>
      <c r="B10" s="23">
        <f t="shared" si="0"/>
        <v>4103</v>
      </c>
      <c r="C10" s="23" t="str">
        <f t="shared" si="1"/>
        <v>1007</v>
      </c>
      <c r="D10" s="22"/>
      <c r="E10" s="22"/>
      <c r="F10" s="22"/>
      <c r="G10" s="22"/>
      <c r="H10" s="24"/>
      <c r="I10" s="24"/>
      <c r="J10" s="22"/>
      <c r="K10" s="22"/>
    </row>
    <row r="11" spans="1:11">
      <c r="A11" s="22" t="s">
        <v>121</v>
      </c>
      <c r="B11" s="23">
        <f t="shared" si="0"/>
        <v>4104</v>
      </c>
      <c r="C11" s="23" t="str">
        <f t="shared" si="1"/>
        <v>1008</v>
      </c>
      <c r="D11" s="22"/>
      <c r="E11" s="22"/>
      <c r="F11" s="22"/>
      <c r="G11" s="22"/>
      <c r="H11" s="24"/>
      <c r="I11" s="24"/>
      <c r="J11" s="22"/>
      <c r="K11" s="22"/>
    </row>
    <row r="12" spans="1:11" ht="30">
      <c r="A12" s="22" t="s">
        <v>91</v>
      </c>
      <c r="B12" s="23">
        <f t="shared" si="0"/>
        <v>4105</v>
      </c>
      <c r="C12" s="23" t="str">
        <f t="shared" si="1"/>
        <v>1009</v>
      </c>
      <c r="D12" s="31"/>
      <c r="E12" s="22" t="s">
        <v>112</v>
      </c>
      <c r="F12" s="22"/>
      <c r="G12" s="22"/>
      <c r="H12" s="24"/>
      <c r="I12" s="25" t="s">
        <v>618</v>
      </c>
      <c r="J12" s="22"/>
      <c r="K12" s="22"/>
    </row>
    <row r="13" spans="1:11" ht="105">
      <c r="A13" s="22" t="s">
        <v>122</v>
      </c>
      <c r="B13" s="23">
        <f t="shared" si="0"/>
        <v>4106</v>
      </c>
      <c r="C13" s="23" t="str">
        <f t="shared" si="1"/>
        <v>100A</v>
      </c>
      <c r="D13" s="31"/>
      <c r="E13" s="22" t="s">
        <v>112</v>
      </c>
      <c r="F13" s="22" t="s">
        <v>619</v>
      </c>
      <c r="G13" s="22"/>
      <c r="H13" s="25"/>
      <c r="I13" s="25" t="s">
        <v>620</v>
      </c>
      <c r="J13" s="22"/>
      <c r="K13" s="22"/>
    </row>
    <row r="14" spans="1:11">
      <c r="A14" s="22" t="s">
        <v>124</v>
      </c>
      <c r="B14" s="23">
        <f t="shared" si="0"/>
        <v>4107</v>
      </c>
      <c r="C14" s="23" t="str">
        <f t="shared" si="1"/>
        <v>100B</v>
      </c>
      <c r="D14" s="31"/>
      <c r="E14" s="22" t="s">
        <v>112</v>
      </c>
      <c r="F14" s="22" t="s">
        <v>621</v>
      </c>
      <c r="G14" s="22"/>
      <c r="H14" s="24"/>
      <c r="J14" s="22"/>
      <c r="K14" s="22"/>
    </row>
    <row r="15" spans="1:11">
      <c r="A15" s="22" t="s">
        <v>125</v>
      </c>
      <c r="B15" s="23">
        <f t="shared" si="0"/>
        <v>4108</v>
      </c>
      <c r="C15" s="23" t="str">
        <f t="shared" si="1"/>
        <v>100C</v>
      </c>
      <c r="D15" s="31"/>
      <c r="E15" s="22" t="s">
        <v>112</v>
      </c>
      <c r="F15" s="22" t="s">
        <v>622</v>
      </c>
      <c r="G15" s="22"/>
      <c r="H15" s="24" t="s">
        <v>623</v>
      </c>
      <c r="I15" s="24" t="s">
        <v>624</v>
      </c>
      <c r="J15" s="22"/>
      <c r="K15" s="22"/>
    </row>
    <row r="16" spans="1:11">
      <c r="A16" s="22" t="s">
        <v>126</v>
      </c>
      <c r="B16" s="23">
        <f>HEX2DEC(C16)</f>
        <v>4109</v>
      </c>
      <c r="C16" s="23" t="s">
        <v>625</v>
      </c>
      <c r="D16" s="31"/>
      <c r="E16" s="22"/>
      <c r="F16" s="22"/>
      <c r="G16" s="22"/>
      <c r="H16" s="25"/>
      <c r="I16" s="25"/>
    </row>
    <row r="17" spans="1:9">
      <c r="A17" s="22" t="s">
        <v>127</v>
      </c>
      <c r="B17" s="23">
        <v>4110</v>
      </c>
      <c r="C17" s="23" t="s">
        <v>626</v>
      </c>
      <c r="D17" s="31"/>
      <c r="E17" s="22"/>
      <c r="F17" s="22"/>
      <c r="G17" s="22"/>
      <c r="H17" s="25"/>
      <c r="I17" s="25"/>
    </row>
    <row r="18" spans="1:9">
      <c r="A18" s="22" t="s">
        <v>128</v>
      </c>
      <c r="B18" s="23">
        <v>4111</v>
      </c>
      <c r="C18" s="23" t="s">
        <v>627</v>
      </c>
      <c r="D18" s="31"/>
      <c r="E18" s="22"/>
      <c r="F18" s="22"/>
      <c r="G18" s="22"/>
      <c r="H18" s="25"/>
      <c r="I18" s="25"/>
    </row>
    <row r="19" spans="1:9">
      <c r="A19" s="22" t="s">
        <v>131</v>
      </c>
      <c r="B19" s="23">
        <v>4112</v>
      </c>
      <c r="C19" s="23">
        <v>1010</v>
      </c>
      <c r="D19" s="31"/>
      <c r="E19" s="22"/>
      <c r="F19" s="22"/>
      <c r="G19" s="22"/>
      <c r="H19" s="25"/>
      <c r="I19" s="25"/>
    </row>
    <row r="20" spans="1:9">
      <c r="A20" s="22" t="s">
        <v>134</v>
      </c>
      <c r="B20" s="23">
        <f>HEX2DEC(C20)</f>
        <v>4113</v>
      </c>
      <c r="C20" s="23">
        <v>1011</v>
      </c>
      <c r="D20" s="31"/>
      <c r="E20" s="22"/>
      <c r="F20" s="22"/>
      <c r="G20" s="22"/>
      <c r="H20" s="25"/>
      <c r="I20" s="25"/>
    </row>
    <row r="21" spans="1:9">
      <c r="A21" s="22" t="s">
        <v>136</v>
      </c>
      <c r="B21" s="23">
        <v>4114</v>
      </c>
      <c r="C21" s="23">
        <v>1012</v>
      </c>
      <c r="D21" s="31"/>
      <c r="E21" s="22"/>
      <c r="F21" s="22"/>
      <c r="G21" s="22"/>
      <c r="H21" s="25"/>
      <c r="I21" s="25"/>
    </row>
    <row r="22" spans="1:9">
      <c r="A22" s="22" t="s">
        <v>138</v>
      </c>
      <c r="B22" s="23">
        <v>4115</v>
      </c>
      <c r="C22" s="23">
        <v>1013</v>
      </c>
      <c r="D22" s="31"/>
      <c r="E22" s="22"/>
      <c r="F22" s="22"/>
      <c r="G22" s="22"/>
      <c r="H22" s="25"/>
      <c r="I22" s="25"/>
    </row>
    <row r="23" spans="1:9">
      <c r="A23" s="22" t="s">
        <v>140</v>
      </c>
      <c r="B23" s="23">
        <f>HEX2DEC(C23)</f>
        <v>4116</v>
      </c>
      <c r="C23" s="23">
        <v>1014</v>
      </c>
      <c r="D23" s="31"/>
      <c r="E23" s="22"/>
      <c r="F23" s="22"/>
      <c r="G23" s="22"/>
      <c r="H23" s="25"/>
      <c r="I23" s="25"/>
    </row>
    <row r="24" spans="1:9">
      <c r="A24" s="22" t="s">
        <v>142</v>
      </c>
      <c r="B24" s="23">
        <f>HEX2DEC(C24)</f>
        <v>4117</v>
      </c>
      <c r="C24" s="23">
        <v>1015</v>
      </c>
      <c r="D24" s="31"/>
      <c r="E24" s="22"/>
      <c r="F24" s="22"/>
      <c r="G24" s="22"/>
      <c r="H24" s="25"/>
      <c r="I24" s="25"/>
    </row>
    <row r="25" spans="1:9">
      <c r="A25" s="22" t="s">
        <v>144</v>
      </c>
      <c r="B25" s="23">
        <v>4118</v>
      </c>
      <c r="C25" s="23">
        <v>1016</v>
      </c>
      <c r="D25" s="31"/>
      <c r="E25" s="22"/>
      <c r="F25" s="22"/>
      <c r="G25" s="22"/>
      <c r="H25" s="25"/>
      <c r="I25" s="25"/>
    </row>
    <row r="26" spans="1:9">
      <c r="A26" s="22" t="s">
        <v>146</v>
      </c>
      <c r="B26" s="23">
        <v>4119</v>
      </c>
      <c r="C26" s="23">
        <v>1017</v>
      </c>
      <c r="D26" s="31"/>
      <c r="E26" s="22"/>
      <c r="F26" s="22"/>
      <c r="G26" s="22"/>
      <c r="H26" s="25"/>
      <c r="I26" s="25"/>
    </row>
    <row r="27" spans="1:9">
      <c r="A27" s="22" t="s">
        <v>148</v>
      </c>
      <c r="B27" s="23">
        <v>4120</v>
      </c>
      <c r="C27" s="23">
        <v>1018</v>
      </c>
      <c r="D27" s="31"/>
      <c r="E27" s="22"/>
      <c r="F27" s="22"/>
      <c r="G27" s="22"/>
      <c r="H27" s="25"/>
      <c r="I27" s="25"/>
    </row>
    <row r="28" spans="1:9">
      <c r="A28" s="22" t="s">
        <v>150</v>
      </c>
      <c r="B28" s="23">
        <f>HEX2DEC(C28)</f>
        <v>4121</v>
      </c>
      <c r="C28" s="23">
        <v>1019</v>
      </c>
      <c r="D28" s="31"/>
      <c r="E28" s="22"/>
      <c r="F28" s="22"/>
      <c r="G28" s="22"/>
      <c r="H28" s="25"/>
      <c r="I28" s="25"/>
    </row>
    <row r="29" spans="1:9">
      <c r="A29" s="22" t="s">
        <v>152</v>
      </c>
      <c r="B29" s="23">
        <f>HEX2DEC(C29)</f>
        <v>4122</v>
      </c>
      <c r="C29" s="23" t="s">
        <v>628</v>
      </c>
      <c r="D29" s="31"/>
      <c r="E29" s="22"/>
      <c r="F29" s="22"/>
      <c r="G29" s="22"/>
      <c r="H29" s="25"/>
      <c r="I29" s="25"/>
    </row>
    <row r="30" spans="1:9">
      <c r="A30" s="22" t="s">
        <v>154</v>
      </c>
      <c r="B30" s="23">
        <v>4123</v>
      </c>
      <c r="C30" s="23" t="s">
        <v>629</v>
      </c>
      <c r="D30" s="31"/>
      <c r="E30" s="22"/>
      <c r="F30" s="22"/>
      <c r="G30" s="22"/>
      <c r="H30" s="25"/>
      <c r="I30" s="25"/>
    </row>
    <row r="31" spans="1:9">
      <c r="A31" s="22" t="s">
        <v>156</v>
      </c>
      <c r="B31" s="23">
        <v>4124</v>
      </c>
      <c r="C31" s="23" t="s">
        <v>630</v>
      </c>
      <c r="D31" s="31"/>
      <c r="E31" s="22"/>
      <c r="F31" s="22"/>
      <c r="G31" s="22"/>
      <c r="H31" s="25"/>
      <c r="I31" s="25"/>
    </row>
    <row r="32" spans="1:9">
      <c r="A32" s="22" t="s">
        <v>158</v>
      </c>
      <c r="B32" s="23">
        <v>4125</v>
      </c>
      <c r="C32" s="23" t="s">
        <v>631</v>
      </c>
      <c r="D32" s="31"/>
      <c r="E32" s="22"/>
      <c r="F32" s="22"/>
      <c r="G32" s="22"/>
      <c r="H32" s="25"/>
      <c r="I32" s="25"/>
    </row>
    <row r="33" spans="1:9">
      <c r="A33" s="22" t="s">
        <v>160</v>
      </c>
      <c r="B33" s="23">
        <f>HEX2DEC(C33)</f>
        <v>4126</v>
      </c>
      <c r="C33" s="23" t="s">
        <v>632</v>
      </c>
      <c r="D33" s="31"/>
      <c r="E33" s="22"/>
      <c r="F33" s="22"/>
      <c r="G33" s="22"/>
      <c r="H33" s="25"/>
      <c r="I33" s="25"/>
    </row>
    <row r="34" spans="1:9">
      <c r="A34" s="22" t="s">
        <v>162</v>
      </c>
      <c r="B34" s="23">
        <v>4127</v>
      </c>
      <c r="C34" s="23" t="s">
        <v>633</v>
      </c>
      <c r="D34" s="31"/>
      <c r="E34" s="22"/>
      <c r="F34" s="22"/>
      <c r="G34" s="22"/>
      <c r="H34" s="25"/>
      <c r="I34" s="25"/>
    </row>
    <row r="35" spans="1:9">
      <c r="A35" s="22" t="s">
        <v>164</v>
      </c>
      <c r="B35" s="23">
        <v>4128</v>
      </c>
      <c r="C35" s="23">
        <v>1020</v>
      </c>
      <c r="D35" s="31"/>
      <c r="E35" s="22" t="s">
        <v>132</v>
      </c>
      <c r="F35" s="22" t="s">
        <v>113</v>
      </c>
      <c r="G35" s="22" t="s">
        <v>114</v>
      </c>
      <c r="H35" s="25"/>
      <c r="I35" s="25"/>
    </row>
    <row r="36" spans="1:9">
      <c r="A36" s="22" t="s">
        <v>166</v>
      </c>
      <c r="B36" s="23">
        <v>4129</v>
      </c>
      <c r="C36" s="23">
        <v>1021</v>
      </c>
      <c r="D36" s="31"/>
      <c r="E36" s="22" t="s">
        <v>132</v>
      </c>
      <c r="F36" s="22" t="s">
        <v>113</v>
      </c>
      <c r="G36" s="22" t="s">
        <v>114</v>
      </c>
      <c r="H36" s="25"/>
      <c r="I36" s="25"/>
    </row>
    <row r="37" spans="1:9">
      <c r="A37" s="22" t="s">
        <v>168</v>
      </c>
      <c r="B37" s="23">
        <v>4130</v>
      </c>
      <c r="C37" s="23">
        <v>1022</v>
      </c>
      <c r="D37" s="31"/>
      <c r="E37" s="22" t="s">
        <v>132</v>
      </c>
      <c r="F37" s="22" t="s">
        <v>113</v>
      </c>
      <c r="G37" s="22" t="s">
        <v>114</v>
      </c>
      <c r="H37" s="25"/>
      <c r="I37" s="25"/>
    </row>
    <row r="38" spans="1:9">
      <c r="A38" s="22" t="s">
        <v>170</v>
      </c>
      <c r="B38" s="23">
        <v>4131</v>
      </c>
      <c r="C38" s="23">
        <v>1023</v>
      </c>
      <c r="D38" s="31"/>
      <c r="E38" s="22" t="s">
        <v>132</v>
      </c>
      <c r="F38" s="22" t="s">
        <v>113</v>
      </c>
      <c r="G38" s="22" t="s">
        <v>114</v>
      </c>
      <c r="H38" s="25"/>
      <c r="I38" s="25"/>
    </row>
    <row r="39" spans="1:9">
      <c r="A39" s="22" t="s">
        <v>172</v>
      </c>
      <c r="B39" s="23">
        <f>HEX2DEC(C39)</f>
        <v>4132</v>
      </c>
      <c r="C39" s="23">
        <v>1024</v>
      </c>
      <c r="D39" s="31"/>
      <c r="E39" s="22" t="s">
        <v>132</v>
      </c>
      <c r="F39" s="22" t="s">
        <v>113</v>
      </c>
      <c r="G39" s="22" t="s">
        <v>114</v>
      </c>
      <c r="H39" s="25"/>
      <c r="I39" s="25"/>
    </row>
    <row r="40" spans="1:9">
      <c r="A40" s="22" t="s">
        <v>174</v>
      </c>
      <c r="B40" s="23">
        <v>4133</v>
      </c>
      <c r="C40" s="23">
        <v>1025</v>
      </c>
      <c r="D40" s="31"/>
      <c r="E40" s="22" t="s">
        <v>132</v>
      </c>
      <c r="F40" s="22" t="s">
        <v>113</v>
      </c>
      <c r="G40" s="22" t="s">
        <v>114</v>
      </c>
      <c r="H40" s="25"/>
      <c r="I40" s="25"/>
    </row>
    <row r="41" spans="1:9">
      <c r="A41" s="22" t="s">
        <v>176</v>
      </c>
      <c r="B41" s="23">
        <v>4134</v>
      </c>
      <c r="C41" s="23">
        <v>1026</v>
      </c>
      <c r="D41" s="31"/>
      <c r="E41" s="22" t="s">
        <v>132</v>
      </c>
      <c r="F41" s="22" t="s">
        <v>113</v>
      </c>
      <c r="G41" s="22" t="s">
        <v>114</v>
      </c>
      <c r="H41" s="25"/>
      <c r="I41" s="25"/>
    </row>
    <row r="42" spans="1:9">
      <c r="A42" s="22" t="s">
        <v>177</v>
      </c>
      <c r="B42" s="23">
        <v>4135</v>
      </c>
      <c r="C42" s="23">
        <v>1027</v>
      </c>
      <c r="D42" s="31"/>
      <c r="E42" s="22" t="s">
        <v>132</v>
      </c>
      <c r="F42" s="22" t="s">
        <v>113</v>
      </c>
      <c r="G42" s="22" t="s">
        <v>114</v>
      </c>
      <c r="H42" s="25"/>
      <c r="I42" s="25"/>
    </row>
    <row r="43" spans="1:9">
      <c r="A43" s="22" t="s">
        <v>178</v>
      </c>
      <c r="B43" s="23">
        <v>4136</v>
      </c>
      <c r="C43" s="23">
        <v>1028</v>
      </c>
      <c r="D43" s="31"/>
      <c r="E43" s="22" t="s">
        <v>132</v>
      </c>
      <c r="F43" s="22" t="s">
        <v>113</v>
      </c>
      <c r="G43" s="22" t="s">
        <v>114</v>
      </c>
      <c r="H43" s="25"/>
      <c r="I43" s="25"/>
    </row>
    <row r="44" spans="1:9">
      <c r="A44" s="22" t="s">
        <v>179</v>
      </c>
      <c r="B44" s="23">
        <v>4137</v>
      </c>
      <c r="C44" s="23">
        <v>1029</v>
      </c>
      <c r="D44" s="31"/>
      <c r="E44" s="22" t="s">
        <v>132</v>
      </c>
      <c r="F44" s="22" t="s">
        <v>113</v>
      </c>
      <c r="G44" s="22" t="s">
        <v>114</v>
      </c>
      <c r="H44" s="25"/>
      <c r="I44" s="25"/>
    </row>
    <row r="45" spans="1:9">
      <c r="A45" s="22" t="s">
        <v>180</v>
      </c>
      <c r="B45" s="23">
        <v>4138</v>
      </c>
      <c r="C45" s="23" t="s">
        <v>634</v>
      </c>
      <c r="D45" s="31"/>
      <c r="E45" s="22" t="s">
        <v>132</v>
      </c>
      <c r="F45" s="22" t="s">
        <v>113</v>
      </c>
      <c r="G45" s="22" t="s">
        <v>114</v>
      </c>
      <c r="H45" s="25"/>
      <c r="I45" s="25"/>
    </row>
    <row r="46" spans="1:9">
      <c r="A46" s="22" t="s">
        <v>181</v>
      </c>
      <c r="B46" s="23">
        <v>4139</v>
      </c>
      <c r="C46" s="23" t="s">
        <v>635</v>
      </c>
      <c r="D46" s="31"/>
      <c r="E46" s="22" t="s">
        <v>132</v>
      </c>
      <c r="F46" s="22" t="s">
        <v>113</v>
      </c>
      <c r="G46" s="22" t="s">
        <v>114</v>
      </c>
    </row>
    <row r="47" spans="1:9">
      <c r="A47" s="22" t="s">
        <v>182</v>
      </c>
      <c r="B47" s="23">
        <v>4140</v>
      </c>
      <c r="C47" s="23" t="s">
        <v>636</v>
      </c>
      <c r="D47" s="31"/>
      <c r="E47" s="22" t="s">
        <v>132</v>
      </c>
      <c r="F47" s="22" t="s">
        <v>113</v>
      </c>
      <c r="G47" s="22" t="s">
        <v>114</v>
      </c>
    </row>
    <row r="48" spans="1:9">
      <c r="A48" s="22" t="s">
        <v>183</v>
      </c>
      <c r="B48" s="23">
        <v>4141</v>
      </c>
      <c r="C48" s="23" t="s">
        <v>637</v>
      </c>
      <c r="D48" s="31"/>
      <c r="E48" s="22" t="s">
        <v>132</v>
      </c>
      <c r="F48" s="22" t="s">
        <v>113</v>
      </c>
      <c r="G48" s="22" t="s">
        <v>114</v>
      </c>
    </row>
    <row r="49" spans="1:7">
      <c r="A49" s="22" t="s">
        <v>184</v>
      </c>
      <c r="B49" s="23">
        <v>4142</v>
      </c>
      <c r="C49" s="23" t="s">
        <v>638</v>
      </c>
      <c r="D49" s="31"/>
      <c r="E49" s="22" t="s">
        <v>132</v>
      </c>
      <c r="F49" s="22" t="s">
        <v>113</v>
      </c>
      <c r="G49" s="22" t="s">
        <v>114</v>
      </c>
    </row>
    <row r="50" spans="1:7">
      <c r="E50" s="22"/>
    </row>
    <row r="51" spans="1:7">
      <c r="E51" s="22"/>
    </row>
    <row r="52" spans="1:7">
      <c r="E52" s="22"/>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26"/>
  <sheetViews>
    <sheetView workbookViewId="0">
      <selection activeCell="G17" sqref="G17"/>
    </sheetView>
  </sheetViews>
  <sheetFormatPr defaultColWidth="8.85546875" defaultRowHeight="15"/>
  <cols>
    <col min="1" max="2" width="8.5703125" customWidth="1"/>
    <col min="3" max="3" width="23.28515625" customWidth="1"/>
    <col min="4" max="4" width="39.85546875" style="28" customWidth="1"/>
    <col min="5" max="5" width="18.140625" customWidth="1"/>
    <col min="6" max="6" width="20.28515625" customWidth="1"/>
    <col min="7" max="7" width="18.140625" customWidth="1"/>
    <col min="8" max="8" width="15.28515625" customWidth="1"/>
    <col min="9" max="9" width="28.5703125" customWidth="1"/>
    <col min="10" max="10" width="7.5703125" customWidth="1"/>
    <col min="11" max="11" width="8.85546875" customWidth="1"/>
  </cols>
  <sheetData>
    <row r="1" spans="1:11">
      <c r="A1" s="22" t="s">
        <v>99</v>
      </c>
      <c r="B1" s="22" t="s">
        <v>100</v>
      </c>
      <c r="C1" s="22" t="s">
        <v>101</v>
      </c>
      <c r="D1" s="22" t="s">
        <v>102</v>
      </c>
      <c r="E1" s="22" t="s">
        <v>103</v>
      </c>
      <c r="F1" s="22" t="s">
        <v>104</v>
      </c>
      <c r="G1" s="23" t="s">
        <v>105</v>
      </c>
      <c r="H1" s="22" t="s">
        <v>106</v>
      </c>
      <c r="I1" s="22" t="s">
        <v>107</v>
      </c>
      <c r="J1" s="22" t="s">
        <v>108</v>
      </c>
      <c r="K1" s="22" t="s">
        <v>109</v>
      </c>
    </row>
    <row r="2" spans="1:11" s="23" customFormat="1">
      <c r="B2" s="23">
        <f>HEX2DEC(C2)</f>
        <v>4352</v>
      </c>
      <c r="C2" s="23">
        <v>1100</v>
      </c>
      <c r="D2" s="28"/>
    </row>
    <row r="3" spans="1:11" s="23" customFormat="1" ht="30">
      <c r="A3" s="23">
        <v>1</v>
      </c>
      <c r="B3" s="23">
        <f t="shared" ref="B3:B21" si="0">$B$2+A3-1</f>
        <v>4352</v>
      </c>
      <c r="C3" s="23" t="str">
        <f t="shared" ref="C3:C21" si="1">DEC2HEX(B3,4)</f>
        <v>1100</v>
      </c>
      <c r="D3" s="28"/>
      <c r="E3" s="23" t="s">
        <v>112</v>
      </c>
      <c r="F3" s="23" t="s">
        <v>639</v>
      </c>
      <c r="I3" s="46" t="s">
        <v>640</v>
      </c>
    </row>
    <row r="4" spans="1:11" s="23" customFormat="1" ht="165">
      <c r="A4" s="23">
        <v>2</v>
      </c>
      <c r="B4" s="23">
        <f t="shared" si="0"/>
        <v>4353</v>
      </c>
      <c r="C4" s="23" t="str">
        <f t="shared" si="1"/>
        <v>1101</v>
      </c>
      <c r="D4" s="28"/>
      <c r="E4" s="23" t="s">
        <v>112</v>
      </c>
      <c r="F4" s="4" t="s">
        <v>641</v>
      </c>
      <c r="G4" s="4" t="s">
        <v>642</v>
      </c>
      <c r="H4" s="4"/>
      <c r="I4" s="20" t="s">
        <v>643</v>
      </c>
    </row>
    <row r="5" spans="1:11" s="23" customFormat="1">
      <c r="A5" s="23">
        <v>3</v>
      </c>
      <c r="B5" s="23">
        <f t="shared" si="0"/>
        <v>4354</v>
      </c>
      <c r="C5" s="23" t="str">
        <f t="shared" si="1"/>
        <v>1102</v>
      </c>
      <c r="D5" s="28"/>
      <c r="E5" s="23" t="s">
        <v>112</v>
      </c>
      <c r="F5" s="4" t="s">
        <v>644</v>
      </c>
      <c r="G5" s="4"/>
      <c r="H5" s="42">
        <v>1E-4</v>
      </c>
      <c r="I5" s="4"/>
    </row>
    <row r="6" spans="1:11" s="23" customFormat="1">
      <c r="A6" s="23">
        <v>4</v>
      </c>
      <c r="B6" s="23">
        <f t="shared" si="0"/>
        <v>4355</v>
      </c>
      <c r="C6" s="23" t="str">
        <f t="shared" si="1"/>
        <v>1103</v>
      </c>
      <c r="D6" s="28"/>
      <c r="E6" s="23" t="s">
        <v>112</v>
      </c>
      <c r="F6" s="4" t="s">
        <v>645</v>
      </c>
      <c r="G6" s="4"/>
      <c r="H6" s="42">
        <v>1E-4</v>
      </c>
      <c r="I6" s="4"/>
    </row>
    <row r="7" spans="1:11" s="23" customFormat="1">
      <c r="A7" s="23">
        <v>5</v>
      </c>
      <c r="B7" s="23">
        <f t="shared" si="0"/>
        <v>4356</v>
      </c>
      <c r="C7" s="23" t="str">
        <f t="shared" si="1"/>
        <v>1104</v>
      </c>
      <c r="D7" s="28"/>
      <c r="E7" s="23" t="s">
        <v>112</v>
      </c>
      <c r="F7" s="4" t="s">
        <v>646</v>
      </c>
      <c r="G7" s="4"/>
      <c r="H7" s="42">
        <v>1E-4</v>
      </c>
      <c r="I7" s="4"/>
    </row>
    <row r="8" spans="1:11" s="23" customFormat="1">
      <c r="A8" s="23">
        <v>6</v>
      </c>
      <c r="B8" s="23">
        <f t="shared" si="0"/>
        <v>4357</v>
      </c>
      <c r="C8" s="23" t="str">
        <f t="shared" si="1"/>
        <v>1105</v>
      </c>
      <c r="D8" s="28"/>
      <c r="E8" s="23" t="s">
        <v>112</v>
      </c>
      <c r="F8" s="4" t="s">
        <v>647</v>
      </c>
      <c r="G8" s="4"/>
      <c r="H8" s="42">
        <v>1E-4</v>
      </c>
      <c r="I8" s="4"/>
    </row>
    <row r="9" spans="1:11" s="23" customFormat="1">
      <c r="A9" s="23">
        <v>7</v>
      </c>
      <c r="B9" s="23">
        <f t="shared" si="0"/>
        <v>4358</v>
      </c>
      <c r="C9" s="23" t="str">
        <f t="shared" si="1"/>
        <v>1106</v>
      </c>
      <c r="D9" s="28"/>
      <c r="E9" s="23" t="s">
        <v>112</v>
      </c>
      <c r="F9" s="23" t="s">
        <v>648</v>
      </c>
      <c r="I9" s="46" t="s">
        <v>649</v>
      </c>
    </row>
    <row r="10" spans="1:11" s="23" customFormat="1">
      <c r="A10" s="23">
        <v>8</v>
      </c>
      <c r="B10" s="23">
        <f t="shared" si="0"/>
        <v>4359</v>
      </c>
      <c r="C10" s="23" t="str">
        <f t="shared" si="1"/>
        <v>1107</v>
      </c>
      <c r="D10" s="28"/>
      <c r="E10" s="23" t="s">
        <v>112</v>
      </c>
      <c r="F10" s="23" t="s">
        <v>650</v>
      </c>
      <c r="I10" s="46" t="s">
        <v>649</v>
      </c>
    </row>
    <row r="11" spans="1:11" s="23" customFormat="1">
      <c r="A11" s="23">
        <v>9</v>
      </c>
      <c r="B11" s="23">
        <f t="shared" si="0"/>
        <v>4360</v>
      </c>
      <c r="C11" s="23" t="str">
        <f t="shared" si="1"/>
        <v>1108</v>
      </c>
      <c r="D11" s="28"/>
      <c r="E11" s="23" t="s">
        <v>112</v>
      </c>
      <c r="F11" s="23" t="s">
        <v>651</v>
      </c>
      <c r="H11" s="23" t="s">
        <v>299</v>
      </c>
    </row>
    <row r="12" spans="1:11" s="23" customFormat="1">
      <c r="A12" s="23">
        <v>10</v>
      </c>
      <c r="B12" s="23">
        <f t="shared" si="0"/>
        <v>4361</v>
      </c>
      <c r="C12" s="23" t="str">
        <f t="shared" si="1"/>
        <v>1109</v>
      </c>
      <c r="D12" s="28"/>
      <c r="E12" s="23" t="s">
        <v>112</v>
      </c>
      <c r="F12" s="23" t="s">
        <v>652</v>
      </c>
    </row>
    <row r="13" spans="1:11" s="23" customFormat="1">
      <c r="A13" s="23">
        <v>11</v>
      </c>
      <c r="B13" s="23">
        <f t="shared" si="0"/>
        <v>4362</v>
      </c>
      <c r="C13" s="23" t="str">
        <f t="shared" si="1"/>
        <v>110A</v>
      </c>
      <c r="D13" s="28"/>
      <c r="E13" s="23" t="s">
        <v>112</v>
      </c>
      <c r="F13" s="23" t="s">
        <v>653</v>
      </c>
    </row>
    <row r="14" spans="1:11" s="23" customFormat="1" ht="75">
      <c r="A14" s="23">
        <v>12</v>
      </c>
      <c r="B14" s="23">
        <f t="shared" si="0"/>
        <v>4363</v>
      </c>
      <c r="C14" s="23" t="str">
        <f t="shared" si="1"/>
        <v>110B</v>
      </c>
      <c r="D14" s="28"/>
      <c r="E14" s="23" t="s">
        <v>112</v>
      </c>
      <c r="F14" s="43" t="s">
        <v>654</v>
      </c>
      <c r="I14" s="46" t="s">
        <v>655</v>
      </c>
    </row>
    <row r="15" spans="1:11" s="23" customFormat="1" ht="90">
      <c r="A15" s="44">
        <v>13</v>
      </c>
      <c r="B15" s="44">
        <f t="shared" si="0"/>
        <v>4364</v>
      </c>
      <c r="C15" s="44" t="str">
        <f t="shared" si="1"/>
        <v>110C</v>
      </c>
      <c r="D15" s="45"/>
      <c r="E15" s="44" t="s">
        <v>112</v>
      </c>
      <c r="F15" s="44" t="s">
        <v>656</v>
      </c>
      <c r="G15" s="44"/>
      <c r="H15" s="44"/>
      <c r="I15" s="47" t="s">
        <v>657</v>
      </c>
    </row>
    <row r="16" spans="1:11" s="23" customFormat="1">
      <c r="A16" s="23">
        <v>14</v>
      </c>
      <c r="B16" s="23">
        <f t="shared" si="0"/>
        <v>4365</v>
      </c>
      <c r="C16" s="23" t="str">
        <f t="shared" si="1"/>
        <v>110D</v>
      </c>
      <c r="D16" s="28"/>
    </row>
    <row r="17" spans="1:7" s="23" customFormat="1">
      <c r="A17" s="23">
        <v>15</v>
      </c>
      <c r="B17" s="23">
        <f t="shared" si="0"/>
        <v>4366</v>
      </c>
      <c r="C17" s="23" t="str">
        <f t="shared" si="1"/>
        <v>110E</v>
      </c>
      <c r="D17" s="28"/>
    </row>
    <row r="18" spans="1:7" s="23" customFormat="1">
      <c r="A18" s="23">
        <v>16</v>
      </c>
      <c r="B18" s="23">
        <f t="shared" si="0"/>
        <v>4367</v>
      </c>
      <c r="C18" s="23" t="str">
        <f t="shared" si="1"/>
        <v>110F</v>
      </c>
      <c r="D18" s="28"/>
    </row>
    <row r="19" spans="1:7" s="23" customFormat="1">
      <c r="A19" s="23">
        <v>17</v>
      </c>
      <c r="B19" s="23">
        <f t="shared" si="0"/>
        <v>4368</v>
      </c>
      <c r="C19" s="23" t="str">
        <f t="shared" si="1"/>
        <v>1110</v>
      </c>
      <c r="D19" s="28"/>
    </row>
    <row r="20" spans="1:7" s="23" customFormat="1">
      <c r="A20" s="23">
        <v>18</v>
      </c>
      <c r="B20" s="23">
        <f t="shared" si="0"/>
        <v>4369</v>
      </c>
      <c r="C20" s="23" t="str">
        <f t="shared" si="1"/>
        <v>1111</v>
      </c>
      <c r="D20" s="28"/>
    </row>
    <row r="21" spans="1:7" s="23" customFormat="1">
      <c r="A21" s="23">
        <v>19</v>
      </c>
      <c r="B21" s="23">
        <f t="shared" si="0"/>
        <v>4370</v>
      </c>
      <c r="C21" s="23" t="str">
        <f t="shared" si="1"/>
        <v>1112</v>
      </c>
      <c r="D21" s="28"/>
    </row>
    <row r="22" spans="1:7">
      <c r="G22" s="23"/>
    </row>
    <row r="23" spans="1:7">
      <c r="G23" s="23"/>
    </row>
    <row r="24" spans="1:7">
      <c r="G24" s="23"/>
    </row>
    <row r="25" spans="1:7">
      <c r="G25" s="23"/>
    </row>
    <row r="26" spans="1:7">
      <c r="G26" s="23"/>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4"/>
  <sheetViews>
    <sheetView zoomScale="115" zoomScaleNormal="115" workbookViewId="0">
      <selection activeCell="O26" sqref="O26"/>
    </sheetView>
  </sheetViews>
  <sheetFormatPr defaultColWidth="8.7109375" defaultRowHeight="15"/>
  <cols>
    <col min="2" max="2" width="13.140625" customWidth="1"/>
    <col min="6" max="7" width="26.28515625" customWidth="1"/>
    <col min="9" max="9" width="17.42578125" customWidth="1"/>
    <col min="12" max="12" width="8.7109375" style="31"/>
    <col min="13" max="13" width="8.7109375" style="22"/>
    <col min="14" max="14" width="14.28515625" style="22" customWidth="1"/>
    <col min="15" max="15" width="14.7109375" customWidth="1"/>
    <col min="16" max="16" width="12" style="23" customWidth="1"/>
    <col min="17" max="17" width="13.85546875" customWidth="1"/>
  </cols>
  <sheetData>
    <row r="1" spans="1:17">
      <c r="A1" s="22" t="s">
        <v>99</v>
      </c>
      <c r="B1" s="22" t="s">
        <v>100</v>
      </c>
      <c r="C1" s="22" t="s">
        <v>101</v>
      </c>
      <c r="D1" s="22" t="s">
        <v>102</v>
      </c>
      <c r="E1" s="22" t="s">
        <v>103</v>
      </c>
      <c r="F1" s="22" t="s">
        <v>104</v>
      </c>
      <c r="G1" s="23" t="s">
        <v>105</v>
      </c>
      <c r="H1" s="22" t="s">
        <v>106</v>
      </c>
      <c r="I1" s="22" t="s">
        <v>107</v>
      </c>
      <c r="J1" s="22" t="s">
        <v>108</v>
      </c>
      <c r="K1" s="22" t="s">
        <v>109</v>
      </c>
      <c r="M1" s="117" t="s">
        <v>658</v>
      </c>
      <c r="N1" s="117"/>
      <c r="O1" s="117"/>
      <c r="P1" s="117"/>
      <c r="Q1" s="118"/>
    </row>
    <row r="2" spans="1:17">
      <c r="A2" s="22"/>
      <c r="B2" s="22">
        <f>HEX2DEC(C2)</f>
        <v>4608</v>
      </c>
      <c r="C2" s="22" t="s">
        <v>659</v>
      </c>
      <c r="D2" s="22"/>
      <c r="E2" s="22"/>
      <c r="F2" s="22" t="s">
        <v>660</v>
      </c>
      <c r="G2" s="22"/>
      <c r="H2" s="24"/>
      <c r="I2" s="24"/>
      <c r="K2" s="32"/>
      <c r="M2" s="33" t="s">
        <v>661</v>
      </c>
      <c r="N2" s="33" t="s">
        <v>662</v>
      </c>
      <c r="O2" s="33" t="s">
        <v>663</v>
      </c>
      <c r="P2" s="34" t="s">
        <v>664</v>
      </c>
      <c r="Q2" s="34" t="s">
        <v>665</v>
      </c>
    </row>
    <row r="3" spans="1:17">
      <c r="A3" s="22">
        <v>1</v>
      </c>
      <c r="B3" s="23">
        <f t="shared" ref="B3:B34" si="0">$B$2+A3-1</f>
        <v>4608</v>
      </c>
      <c r="C3" s="23" t="str">
        <f t="shared" ref="C3:C34" si="1">DEC2HEX(B3,4)</f>
        <v>1200</v>
      </c>
      <c r="D3" s="22"/>
      <c r="E3" s="22" t="s">
        <v>112</v>
      </c>
      <c r="F3" s="1" t="s">
        <v>666</v>
      </c>
      <c r="G3" s="22"/>
      <c r="H3" s="24" t="s">
        <v>667</v>
      </c>
      <c r="I3" s="24"/>
      <c r="K3" s="32"/>
      <c r="M3" s="33">
        <v>1</v>
      </c>
      <c r="N3" s="33" t="s">
        <v>668</v>
      </c>
      <c r="O3" s="35" t="s">
        <v>669</v>
      </c>
      <c r="P3" s="34" t="s">
        <v>232</v>
      </c>
      <c r="Q3" s="34" t="s">
        <v>409</v>
      </c>
    </row>
    <row r="4" spans="1:17" ht="60">
      <c r="A4" s="22">
        <v>2</v>
      </c>
      <c r="B4" s="23">
        <f t="shared" si="0"/>
        <v>4609</v>
      </c>
      <c r="C4" s="23" t="str">
        <f t="shared" si="1"/>
        <v>1201</v>
      </c>
      <c r="D4" s="22"/>
      <c r="E4" s="22" t="s">
        <v>112</v>
      </c>
      <c r="F4" s="1" t="s">
        <v>670</v>
      </c>
      <c r="H4" s="24" t="s">
        <v>667</v>
      </c>
      <c r="I4" s="29" t="s">
        <v>671</v>
      </c>
      <c r="K4" s="32"/>
      <c r="M4" s="33">
        <v>2</v>
      </c>
      <c r="N4" s="33" t="s">
        <v>672</v>
      </c>
      <c r="O4" s="35" t="s">
        <v>673</v>
      </c>
      <c r="P4" s="34" t="s">
        <v>234</v>
      </c>
      <c r="Q4" s="34" t="s">
        <v>674</v>
      </c>
    </row>
    <row r="5" spans="1:17">
      <c r="A5" s="22">
        <v>3</v>
      </c>
      <c r="B5" s="23">
        <f t="shared" si="0"/>
        <v>4610</v>
      </c>
      <c r="C5" s="23" t="str">
        <f t="shared" si="1"/>
        <v>1202</v>
      </c>
      <c r="D5" s="22"/>
      <c r="E5" s="22" t="s">
        <v>112</v>
      </c>
      <c r="F5" s="1" t="s">
        <v>675</v>
      </c>
      <c r="H5" s="24" t="s">
        <v>231</v>
      </c>
      <c r="I5" s="24"/>
      <c r="K5" s="32"/>
      <c r="M5" s="33">
        <v>3</v>
      </c>
      <c r="N5" s="33" t="s">
        <v>676</v>
      </c>
      <c r="O5" s="35" t="s">
        <v>677</v>
      </c>
      <c r="P5" s="34" t="s">
        <v>238</v>
      </c>
      <c r="Q5" s="34" t="s">
        <v>88</v>
      </c>
    </row>
    <row r="6" spans="1:17">
      <c r="A6" s="22">
        <v>4</v>
      </c>
      <c r="B6" s="23">
        <f t="shared" si="0"/>
        <v>4611</v>
      </c>
      <c r="C6" s="23" t="str">
        <f t="shared" si="1"/>
        <v>1203</v>
      </c>
      <c r="D6" s="22"/>
      <c r="E6" s="22" t="s">
        <v>112</v>
      </c>
      <c r="F6" s="1" t="s">
        <v>678</v>
      </c>
      <c r="H6" s="24" t="s">
        <v>231</v>
      </c>
      <c r="I6" s="24"/>
      <c r="K6" s="32"/>
      <c r="M6" s="33">
        <v>4</v>
      </c>
      <c r="N6" s="33" t="s">
        <v>679</v>
      </c>
      <c r="O6" s="35" t="s">
        <v>680</v>
      </c>
      <c r="P6" s="34" t="s">
        <v>234</v>
      </c>
      <c r="Q6" s="34" t="s">
        <v>88</v>
      </c>
    </row>
    <row r="7" spans="1:17">
      <c r="A7" s="22">
        <v>5</v>
      </c>
      <c r="B7" s="23">
        <f t="shared" si="0"/>
        <v>4612</v>
      </c>
      <c r="C7" s="23" t="str">
        <f t="shared" si="1"/>
        <v>1204</v>
      </c>
      <c r="D7" s="22"/>
      <c r="E7" s="22" t="s">
        <v>112</v>
      </c>
      <c r="F7" s="1" t="s">
        <v>681</v>
      </c>
      <c r="H7" s="24" t="s">
        <v>231</v>
      </c>
      <c r="I7" s="24"/>
      <c r="K7" s="32"/>
      <c r="M7" s="33">
        <v>5</v>
      </c>
      <c r="N7" s="33" t="s">
        <v>682</v>
      </c>
      <c r="O7" s="35" t="s">
        <v>683</v>
      </c>
      <c r="P7" s="34" t="s">
        <v>232</v>
      </c>
      <c r="Q7" s="34">
        <v>2000</v>
      </c>
    </row>
    <row r="8" spans="1:17">
      <c r="A8" s="22">
        <v>6</v>
      </c>
      <c r="B8" s="23">
        <f t="shared" si="0"/>
        <v>4613</v>
      </c>
      <c r="C8" s="23" t="str">
        <f t="shared" si="1"/>
        <v>1205</v>
      </c>
      <c r="D8" s="22"/>
      <c r="E8" s="22" t="s">
        <v>112</v>
      </c>
      <c r="F8" s="1" t="s">
        <v>684</v>
      </c>
      <c r="H8" s="24" t="s">
        <v>231</v>
      </c>
      <c r="I8" s="24"/>
      <c r="K8" s="32"/>
      <c r="M8" s="33">
        <v>6</v>
      </c>
      <c r="N8" s="33" t="s">
        <v>685</v>
      </c>
      <c r="O8" s="35" t="s">
        <v>686</v>
      </c>
      <c r="P8" s="34" t="s">
        <v>234</v>
      </c>
      <c r="Q8" s="34">
        <v>2001</v>
      </c>
    </row>
    <row r="9" spans="1:17">
      <c r="A9" s="22">
        <v>7</v>
      </c>
      <c r="B9" s="23">
        <f t="shared" si="0"/>
        <v>4614</v>
      </c>
      <c r="C9" s="23" t="str">
        <f t="shared" si="1"/>
        <v>1206</v>
      </c>
      <c r="D9" s="22"/>
      <c r="E9" s="22"/>
      <c r="F9" s="22" t="s">
        <v>123</v>
      </c>
      <c r="G9" s="22"/>
      <c r="H9" s="24"/>
      <c r="I9" s="24"/>
      <c r="K9" s="32"/>
      <c r="M9" s="33">
        <v>7</v>
      </c>
      <c r="N9" s="33" t="s">
        <v>687</v>
      </c>
      <c r="O9" s="35" t="s">
        <v>688</v>
      </c>
      <c r="P9" s="34" t="s">
        <v>238</v>
      </c>
      <c r="Q9" s="34" t="s">
        <v>88</v>
      </c>
    </row>
    <row r="10" spans="1:17">
      <c r="A10" s="22">
        <v>8</v>
      </c>
      <c r="B10" s="23">
        <f t="shared" si="0"/>
        <v>4615</v>
      </c>
      <c r="C10" s="23" t="str">
        <f t="shared" si="1"/>
        <v>1207</v>
      </c>
      <c r="D10" s="22"/>
      <c r="E10" s="22"/>
      <c r="F10" s="22" t="s">
        <v>123</v>
      </c>
      <c r="G10" s="22"/>
      <c r="H10" s="24"/>
      <c r="I10" s="24"/>
      <c r="K10" s="32"/>
      <c r="M10" s="33">
        <v>8</v>
      </c>
      <c r="N10" s="33" t="s">
        <v>689</v>
      </c>
      <c r="O10" s="35" t="s">
        <v>690</v>
      </c>
      <c r="P10" s="34" t="s">
        <v>232</v>
      </c>
      <c r="Q10" s="34" t="s">
        <v>691</v>
      </c>
    </row>
    <row r="11" spans="1:17" ht="60">
      <c r="A11" s="22">
        <v>9</v>
      </c>
      <c r="B11" s="23">
        <f t="shared" si="0"/>
        <v>4616</v>
      </c>
      <c r="C11" s="23" t="str">
        <f t="shared" si="1"/>
        <v>1208</v>
      </c>
      <c r="D11" s="22"/>
      <c r="E11" s="22" t="s">
        <v>112</v>
      </c>
      <c r="F11" s="22" t="s">
        <v>692</v>
      </c>
      <c r="G11" s="22"/>
      <c r="H11" s="24" t="s">
        <v>231</v>
      </c>
      <c r="I11" s="25" t="s">
        <v>693</v>
      </c>
      <c r="K11" s="32"/>
      <c r="M11" s="33">
        <v>9</v>
      </c>
      <c r="N11" s="33" t="s">
        <v>694</v>
      </c>
      <c r="O11" s="35" t="s">
        <v>695</v>
      </c>
      <c r="P11" s="34" t="s">
        <v>546</v>
      </c>
      <c r="Q11" s="34" t="s">
        <v>696</v>
      </c>
    </row>
    <row r="12" spans="1:17">
      <c r="A12" s="22">
        <v>10</v>
      </c>
      <c r="B12" s="23">
        <f t="shared" si="0"/>
        <v>4617</v>
      </c>
      <c r="C12" s="23" t="str">
        <f t="shared" si="1"/>
        <v>1209</v>
      </c>
      <c r="D12" s="22"/>
      <c r="E12" s="22" t="s">
        <v>112</v>
      </c>
      <c r="F12" s="22" t="s">
        <v>697</v>
      </c>
      <c r="G12" s="22"/>
      <c r="H12" s="24" t="s">
        <v>231</v>
      </c>
      <c r="I12" s="24"/>
      <c r="K12" s="32"/>
      <c r="M12" s="33">
        <v>10</v>
      </c>
      <c r="N12" s="33" t="s">
        <v>698</v>
      </c>
      <c r="O12" s="35" t="s">
        <v>699</v>
      </c>
      <c r="P12" s="34" t="s">
        <v>234</v>
      </c>
      <c r="Q12" s="34" t="s">
        <v>700</v>
      </c>
    </row>
    <row r="13" spans="1:17">
      <c r="A13" s="22">
        <v>11</v>
      </c>
      <c r="B13" s="23">
        <f t="shared" si="0"/>
        <v>4618</v>
      </c>
      <c r="C13" s="23" t="str">
        <f t="shared" si="1"/>
        <v>120A</v>
      </c>
      <c r="D13" s="22"/>
      <c r="E13" s="22" t="s">
        <v>112</v>
      </c>
      <c r="F13" s="22" t="s">
        <v>701</v>
      </c>
      <c r="G13" s="22"/>
      <c r="H13" s="24" t="s">
        <v>231</v>
      </c>
      <c r="I13" s="24"/>
      <c r="K13" s="32"/>
      <c r="M13" s="33">
        <v>11</v>
      </c>
      <c r="N13" s="33" t="s">
        <v>702</v>
      </c>
      <c r="O13" s="35" t="s">
        <v>703</v>
      </c>
      <c r="P13" s="34" t="s">
        <v>234</v>
      </c>
      <c r="Q13" s="34" t="s">
        <v>88</v>
      </c>
    </row>
    <row r="14" spans="1:17">
      <c r="A14" s="22">
        <v>12</v>
      </c>
      <c r="B14" s="23">
        <f t="shared" si="0"/>
        <v>4619</v>
      </c>
      <c r="C14" s="23" t="str">
        <f t="shared" si="1"/>
        <v>120B</v>
      </c>
      <c r="D14" s="22"/>
      <c r="E14" s="22" t="s">
        <v>112</v>
      </c>
      <c r="F14" s="22" t="s">
        <v>704</v>
      </c>
      <c r="G14" s="22"/>
      <c r="H14" s="24" t="s">
        <v>231</v>
      </c>
      <c r="I14" s="24"/>
      <c r="K14" s="32"/>
      <c r="M14" s="33">
        <v>12</v>
      </c>
      <c r="N14" s="33" t="s">
        <v>705</v>
      </c>
      <c r="O14" s="35" t="s">
        <v>706</v>
      </c>
      <c r="P14" s="34" t="s">
        <v>238</v>
      </c>
      <c r="Q14" s="34" t="s">
        <v>88</v>
      </c>
    </row>
    <row r="15" spans="1:17">
      <c r="A15" s="22">
        <v>13</v>
      </c>
      <c r="B15" s="23">
        <f t="shared" si="0"/>
        <v>4620</v>
      </c>
      <c r="C15" s="23" t="str">
        <f t="shared" si="1"/>
        <v>120C</v>
      </c>
      <c r="D15" s="22"/>
      <c r="E15" s="22" t="s">
        <v>112</v>
      </c>
      <c r="F15" s="22" t="s">
        <v>707</v>
      </c>
      <c r="G15" s="22"/>
      <c r="H15" s="24" t="s">
        <v>231</v>
      </c>
      <c r="I15" s="24"/>
      <c r="K15" s="32"/>
      <c r="M15" s="33">
        <v>13</v>
      </c>
      <c r="N15" s="33" t="s">
        <v>708</v>
      </c>
      <c r="O15" s="35" t="s">
        <v>709</v>
      </c>
      <c r="P15" s="34" t="s">
        <v>238</v>
      </c>
      <c r="Q15" s="34" t="s">
        <v>88</v>
      </c>
    </row>
    <row r="16" spans="1:17">
      <c r="A16" s="22">
        <v>14</v>
      </c>
      <c r="B16" s="23">
        <f t="shared" si="0"/>
        <v>4621</v>
      </c>
      <c r="C16" s="23" t="str">
        <f t="shared" si="1"/>
        <v>120D</v>
      </c>
      <c r="D16" s="22"/>
      <c r="E16" s="22" t="s">
        <v>112</v>
      </c>
      <c r="F16" s="22" t="s">
        <v>710</v>
      </c>
      <c r="G16" s="22"/>
      <c r="H16" s="24" t="s">
        <v>231</v>
      </c>
      <c r="I16" s="24"/>
      <c r="K16" s="32"/>
      <c r="M16" s="33">
        <v>14</v>
      </c>
      <c r="N16" s="33" t="s">
        <v>711</v>
      </c>
      <c r="O16" s="35" t="s">
        <v>712</v>
      </c>
      <c r="P16" s="34" t="s">
        <v>232</v>
      </c>
      <c r="Q16" s="34" t="s">
        <v>713</v>
      </c>
    </row>
    <row r="17" spans="1:17">
      <c r="A17" s="22">
        <v>15</v>
      </c>
      <c r="B17" s="23">
        <f t="shared" si="0"/>
        <v>4622</v>
      </c>
      <c r="C17" s="23" t="str">
        <f t="shared" si="1"/>
        <v>120E</v>
      </c>
      <c r="D17" s="22"/>
      <c r="E17" s="22" t="s">
        <v>112</v>
      </c>
      <c r="F17" s="22" t="s">
        <v>714</v>
      </c>
      <c r="G17" s="22"/>
      <c r="H17" s="24" t="s">
        <v>231</v>
      </c>
      <c r="I17" s="24"/>
      <c r="K17" s="32"/>
      <c r="M17" s="33">
        <v>15</v>
      </c>
      <c r="N17" s="33" t="s">
        <v>715</v>
      </c>
      <c r="O17" s="35" t="s">
        <v>716</v>
      </c>
      <c r="P17" s="34" t="s">
        <v>234</v>
      </c>
      <c r="Q17" s="34" t="s">
        <v>717</v>
      </c>
    </row>
    <row r="18" spans="1:17">
      <c r="A18" s="22">
        <v>16</v>
      </c>
      <c r="B18" s="23">
        <f t="shared" si="0"/>
        <v>4623</v>
      </c>
      <c r="C18" s="23" t="str">
        <f t="shared" si="1"/>
        <v>120F</v>
      </c>
      <c r="D18" s="22"/>
      <c r="E18" s="22" t="s">
        <v>112</v>
      </c>
      <c r="F18" s="22" t="s">
        <v>718</v>
      </c>
      <c r="G18" s="22"/>
      <c r="H18" s="24" t="s">
        <v>231</v>
      </c>
      <c r="I18" s="24"/>
      <c r="K18" s="32"/>
      <c r="M18" s="33">
        <v>16</v>
      </c>
      <c r="N18" s="33" t="s">
        <v>719</v>
      </c>
      <c r="O18" s="35" t="s">
        <v>720</v>
      </c>
      <c r="P18" s="34" t="s">
        <v>238</v>
      </c>
      <c r="Q18" s="34" t="s">
        <v>721</v>
      </c>
    </row>
    <row r="19" spans="1:17">
      <c r="A19" s="22">
        <v>17</v>
      </c>
      <c r="B19" s="23">
        <f t="shared" si="0"/>
        <v>4624</v>
      </c>
      <c r="C19" s="23" t="str">
        <f t="shared" si="1"/>
        <v>1210</v>
      </c>
      <c r="D19" s="22"/>
      <c r="E19" s="22"/>
      <c r="F19" s="22"/>
      <c r="G19" s="22"/>
      <c r="H19" s="24"/>
      <c r="I19" s="24"/>
      <c r="K19" s="32"/>
      <c r="M19" s="33">
        <v>17</v>
      </c>
      <c r="N19" s="33" t="s">
        <v>722</v>
      </c>
      <c r="O19" s="35" t="s">
        <v>321</v>
      </c>
      <c r="P19" s="34" t="s">
        <v>232</v>
      </c>
      <c r="Q19" s="34" t="s">
        <v>723</v>
      </c>
    </row>
    <row r="20" spans="1:17">
      <c r="A20" s="22">
        <v>18</v>
      </c>
      <c r="B20" s="23">
        <f t="shared" si="0"/>
        <v>4625</v>
      </c>
      <c r="C20" s="23" t="str">
        <f t="shared" si="1"/>
        <v>1211</v>
      </c>
      <c r="D20" s="22"/>
      <c r="E20" s="22"/>
      <c r="F20" s="22"/>
      <c r="G20" s="22"/>
      <c r="H20" s="24"/>
      <c r="I20" s="24"/>
      <c r="K20" s="32"/>
      <c r="M20" s="33">
        <v>18</v>
      </c>
      <c r="N20" s="33" t="s">
        <v>724</v>
      </c>
      <c r="O20" s="35" t="s">
        <v>323</v>
      </c>
      <c r="P20" s="34" t="s">
        <v>234</v>
      </c>
      <c r="Q20" s="34" t="s">
        <v>725</v>
      </c>
    </row>
    <row r="21" spans="1:17">
      <c r="A21" s="22">
        <v>19</v>
      </c>
      <c r="B21" s="23">
        <f t="shared" si="0"/>
        <v>4626</v>
      </c>
      <c r="C21" s="23" t="str">
        <f t="shared" si="1"/>
        <v>1212</v>
      </c>
      <c r="D21" s="22"/>
      <c r="E21" s="22"/>
      <c r="F21" s="22"/>
      <c r="G21" s="22"/>
      <c r="H21" s="24"/>
      <c r="I21" s="24"/>
      <c r="K21" s="32"/>
      <c r="M21" s="33">
        <v>19</v>
      </c>
      <c r="N21" s="33" t="s">
        <v>726</v>
      </c>
      <c r="O21" s="35" t="s">
        <v>325</v>
      </c>
      <c r="P21" s="34" t="s">
        <v>238</v>
      </c>
      <c r="Q21" s="34" t="s">
        <v>727</v>
      </c>
    </row>
    <row r="22" spans="1:17">
      <c r="A22" s="22">
        <v>20</v>
      </c>
      <c r="B22" s="23">
        <f t="shared" si="0"/>
        <v>4627</v>
      </c>
      <c r="C22" s="23" t="str">
        <f t="shared" si="1"/>
        <v>1213</v>
      </c>
      <c r="D22" s="22"/>
      <c r="E22" s="22"/>
      <c r="F22" s="22"/>
      <c r="G22" s="22"/>
      <c r="H22" s="24"/>
      <c r="I22" s="24"/>
      <c r="K22" s="32"/>
      <c r="M22" s="33">
        <v>20</v>
      </c>
      <c r="N22" s="33" t="s">
        <v>728</v>
      </c>
      <c r="O22" s="35" t="s">
        <v>326</v>
      </c>
      <c r="P22" s="34" t="s">
        <v>232</v>
      </c>
      <c r="Q22" s="34" t="s">
        <v>88</v>
      </c>
    </row>
    <row r="23" spans="1:17">
      <c r="A23" s="22">
        <v>21</v>
      </c>
      <c r="B23" s="23">
        <f t="shared" si="0"/>
        <v>4628</v>
      </c>
      <c r="C23" s="23" t="str">
        <f t="shared" si="1"/>
        <v>1214</v>
      </c>
      <c r="D23" s="22"/>
      <c r="E23" s="22"/>
      <c r="F23" s="22"/>
      <c r="G23" s="22"/>
      <c r="H23" s="24"/>
      <c r="I23" s="24"/>
      <c r="K23" s="32"/>
      <c r="M23" s="33">
        <v>21</v>
      </c>
      <c r="N23" s="33" t="s">
        <v>729</v>
      </c>
      <c r="O23" s="35" t="s">
        <v>328</v>
      </c>
      <c r="P23" s="34" t="s">
        <v>234</v>
      </c>
      <c r="Q23" s="34" t="s">
        <v>88</v>
      </c>
    </row>
    <row r="24" spans="1:17">
      <c r="A24" s="22">
        <v>22</v>
      </c>
      <c r="B24" s="23">
        <f t="shared" si="0"/>
        <v>4629</v>
      </c>
      <c r="C24" s="23" t="str">
        <f t="shared" si="1"/>
        <v>1215</v>
      </c>
      <c r="D24" s="22"/>
      <c r="E24" s="22"/>
      <c r="F24" s="22"/>
      <c r="G24" s="22"/>
      <c r="H24" s="24"/>
      <c r="I24" s="24"/>
      <c r="K24" s="32"/>
      <c r="M24" s="33">
        <v>22</v>
      </c>
      <c r="N24" s="33" t="s">
        <v>730</v>
      </c>
      <c r="O24" s="35" t="s">
        <v>330</v>
      </c>
      <c r="P24" s="34" t="s">
        <v>238</v>
      </c>
      <c r="Q24" s="34" t="s">
        <v>88</v>
      </c>
    </row>
    <row r="25" spans="1:17">
      <c r="A25" s="22">
        <v>23</v>
      </c>
      <c r="B25" s="23">
        <f t="shared" si="0"/>
        <v>4630</v>
      </c>
      <c r="C25" s="23" t="str">
        <f t="shared" si="1"/>
        <v>1216</v>
      </c>
      <c r="D25" s="22"/>
      <c r="E25" s="22"/>
      <c r="F25" s="22"/>
      <c r="G25" s="22"/>
      <c r="H25" s="24"/>
      <c r="I25" s="24"/>
      <c r="K25" s="32"/>
      <c r="M25" s="33">
        <v>23</v>
      </c>
      <c r="N25" s="33" t="s">
        <v>731</v>
      </c>
      <c r="O25" s="35" t="s">
        <v>732</v>
      </c>
      <c r="P25" s="34" t="s">
        <v>232</v>
      </c>
      <c r="Q25" s="34" t="s">
        <v>88</v>
      </c>
    </row>
    <row r="26" spans="1:17">
      <c r="A26" s="22">
        <v>24</v>
      </c>
      <c r="B26" s="23">
        <f t="shared" si="0"/>
        <v>4631</v>
      </c>
      <c r="C26" s="23" t="str">
        <f t="shared" si="1"/>
        <v>1217</v>
      </c>
      <c r="D26" s="22"/>
      <c r="E26" s="22"/>
      <c r="F26" s="22"/>
      <c r="G26" s="22"/>
      <c r="H26" s="24"/>
      <c r="I26" s="24"/>
      <c r="K26" s="32"/>
      <c r="M26" s="33">
        <v>24</v>
      </c>
      <c r="N26" s="33" t="s">
        <v>733</v>
      </c>
      <c r="O26" s="35" t="s">
        <v>734</v>
      </c>
      <c r="P26" s="34" t="s">
        <v>232</v>
      </c>
      <c r="Q26" s="34" t="s">
        <v>735</v>
      </c>
    </row>
    <row r="27" spans="1:17">
      <c r="A27" s="22">
        <v>25</v>
      </c>
      <c r="B27" s="23">
        <f t="shared" si="0"/>
        <v>4632</v>
      </c>
      <c r="C27" s="23" t="str">
        <f t="shared" si="1"/>
        <v>1218</v>
      </c>
      <c r="D27" s="22"/>
      <c r="E27" s="22"/>
      <c r="F27" s="22"/>
      <c r="G27" s="22"/>
      <c r="H27" s="24"/>
      <c r="I27" s="24"/>
      <c r="K27" s="32"/>
      <c r="M27" s="33">
        <v>25</v>
      </c>
      <c r="N27" s="33" t="s">
        <v>736</v>
      </c>
      <c r="O27" s="35" t="s">
        <v>737</v>
      </c>
      <c r="P27" s="34" t="s">
        <v>282</v>
      </c>
      <c r="Q27" s="34" t="s">
        <v>738</v>
      </c>
    </row>
    <row r="28" spans="1:17">
      <c r="A28" s="22">
        <v>26</v>
      </c>
      <c r="B28" s="23">
        <f t="shared" si="0"/>
        <v>4633</v>
      </c>
      <c r="C28" s="23" t="str">
        <f t="shared" si="1"/>
        <v>1219</v>
      </c>
      <c r="D28" s="22"/>
      <c r="E28" s="22"/>
      <c r="F28" s="22"/>
      <c r="G28" s="22"/>
      <c r="H28" s="24"/>
      <c r="I28" s="24"/>
      <c r="M28" s="33">
        <v>26</v>
      </c>
      <c r="N28" s="33" t="s">
        <v>739</v>
      </c>
      <c r="O28" s="35" t="s">
        <v>290</v>
      </c>
      <c r="P28" s="34" t="s">
        <v>238</v>
      </c>
      <c r="Q28" s="34" t="s">
        <v>88</v>
      </c>
    </row>
    <row r="29" spans="1:17">
      <c r="A29" s="22">
        <v>27</v>
      </c>
      <c r="B29" s="23">
        <f t="shared" si="0"/>
        <v>4634</v>
      </c>
      <c r="C29" s="23" t="str">
        <f t="shared" si="1"/>
        <v>121A</v>
      </c>
      <c r="D29" s="22"/>
      <c r="E29" s="22"/>
      <c r="F29" s="22"/>
      <c r="G29" s="22"/>
      <c r="H29" s="24"/>
      <c r="I29" s="24"/>
      <c r="M29" s="36"/>
      <c r="N29" s="36"/>
      <c r="O29" s="37"/>
      <c r="P29" s="38"/>
      <c r="Q29" s="36"/>
    </row>
    <row r="30" spans="1:17">
      <c r="A30" s="22">
        <v>28</v>
      </c>
      <c r="B30" s="23">
        <f t="shared" si="0"/>
        <v>4635</v>
      </c>
      <c r="C30" s="23" t="str">
        <f t="shared" si="1"/>
        <v>121B</v>
      </c>
      <c r="E30" s="22"/>
      <c r="F30" s="22"/>
      <c r="G30" s="22"/>
      <c r="H30" s="24"/>
      <c r="I30" s="24"/>
      <c r="M30" s="33" t="s">
        <v>740</v>
      </c>
      <c r="N30" s="33" t="s">
        <v>741</v>
      </c>
      <c r="O30" s="35" t="s">
        <v>742</v>
      </c>
      <c r="P30" s="38"/>
      <c r="Q30" s="36"/>
    </row>
    <row r="31" spans="1:17">
      <c r="A31" s="22">
        <v>29</v>
      </c>
      <c r="B31" s="23">
        <f t="shared" si="0"/>
        <v>4636</v>
      </c>
      <c r="C31" s="23" t="str">
        <f t="shared" si="1"/>
        <v>121C</v>
      </c>
      <c r="E31" s="22"/>
      <c r="F31" s="22"/>
      <c r="G31" s="22"/>
      <c r="H31" s="24"/>
      <c r="M31" s="1"/>
      <c r="N31" s="1"/>
      <c r="O31" s="5"/>
    </row>
    <row r="32" spans="1:17">
      <c r="A32" s="22">
        <v>30</v>
      </c>
      <c r="B32" s="23">
        <f t="shared" si="0"/>
        <v>4637</v>
      </c>
      <c r="C32" s="23" t="str">
        <f t="shared" si="1"/>
        <v>121D</v>
      </c>
      <c r="F32" s="22"/>
      <c r="G32" s="22"/>
      <c r="M32"/>
      <c r="N32"/>
      <c r="P32"/>
    </row>
    <row r="33" spans="1:15">
      <c r="A33" s="22">
        <v>31</v>
      </c>
      <c r="B33" s="23">
        <f t="shared" si="0"/>
        <v>4638</v>
      </c>
      <c r="C33" s="23" t="str">
        <f t="shared" si="1"/>
        <v>121E</v>
      </c>
      <c r="F33" s="22"/>
      <c r="G33" s="22"/>
      <c r="M33" s="6"/>
      <c r="N33" s="6"/>
      <c r="O33" s="32"/>
    </row>
    <row r="34" spans="1:15">
      <c r="A34" s="22">
        <v>32</v>
      </c>
      <c r="B34" s="23">
        <f t="shared" si="0"/>
        <v>4639</v>
      </c>
      <c r="C34" s="23" t="str">
        <f t="shared" si="1"/>
        <v>121F</v>
      </c>
      <c r="F34" s="22"/>
      <c r="G34" s="22"/>
      <c r="M34" s="6"/>
      <c r="N34" s="6"/>
      <c r="O34" s="32"/>
    </row>
    <row r="35" spans="1:15">
      <c r="A35" s="22"/>
      <c r="B35" s="23"/>
      <c r="C35" s="23"/>
      <c r="F35" s="22"/>
      <c r="G35" s="22"/>
      <c r="M35" s="6"/>
      <c r="N35" s="6"/>
      <c r="O35" s="32"/>
    </row>
    <row r="36" spans="1:15">
      <c r="A36" s="22"/>
      <c r="B36" s="23"/>
      <c r="C36" s="23"/>
      <c r="F36" s="22"/>
      <c r="G36" s="22"/>
      <c r="M36" s="6"/>
      <c r="N36" s="6"/>
      <c r="O36" s="32"/>
    </row>
    <row r="37" spans="1:15">
      <c r="A37" s="22"/>
      <c r="B37" s="23"/>
      <c r="C37" s="23"/>
      <c r="F37" s="22"/>
      <c r="G37" s="22"/>
      <c r="M37" s="6"/>
      <c r="N37" s="6"/>
      <c r="O37" s="32"/>
    </row>
    <row r="38" spans="1:15">
      <c r="A38" s="22"/>
      <c r="B38" s="23"/>
      <c r="C38" s="23"/>
      <c r="F38" s="22"/>
      <c r="G38" s="22"/>
      <c r="M38" s="6"/>
      <c r="N38" s="6"/>
      <c r="O38" s="32"/>
    </row>
    <row r="39" spans="1:15">
      <c r="A39" s="22"/>
      <c r="B39" s="23"/>
      <c r="C39" s="23"/>
      <c r="F39" s="22"/>
      <c r="G39" s="22"/>
      <c r="O39" s="31"/>
    </row>
    <row r="40" spans="1:15">
      <c r="A40" s="22"/>
      <c r="B40" s="23"/>
      <c r="C40" s="23"/>
      <c r="F40" s="22"/>
      <c r="G40" s="22"/>
    </row>
    <row r="41" spans="1:15">
      <c r="A41" s="22"/>
      <c r="B41" s="23"/>
      <c r="C41" s="23"/>
      <c r="F41" s="22"/>
      <c r="G41" s="22"/>
    </row>
    <row r="42" spans="1:15">
      <c r="A42" s="22"/>
      <c r="B42" s="23"/>
      <c r="C42" s="23"/>
      <c r="F42" s="22"/>
      <c r="G42" s="22"/>
    </row>
    <row r="43" spans="1:15">
      <c r="A43" s="22"/>
      <c r="B43" s="23"/>
      <c r="C43" s="23"/>
      <c r="F43" s="22"/>
      <c r="G43" s="22"/>
    </row>
    <row r="44" spans="1:15">
      <c r="A44" s="22"/>
      <c r="B44" s="23"/>
      <c r="C44" s="23"/>
      <c r="F44" s="22"/>
      <c r="G44" s="22"/>
    </row>
    <row r="45" spans="1:15">
      <c r="A45" s="22"/>
      <c r="B45" s="23"/>
      <c r="C45" s="23"/>
      <c r="F45" s="22"/>
      <c r="G45" s="22"/>
    </row>
    <row r="46" spans="1:15">
      <c r="A46" s="22"/>
      <c r="B46" s="23"/>
      <c r="C46" s="23"/>
      <c r="F46" s="22"/>
      <c r="G46" s="22"/>
    </row>
    <row r="47" spans="1:15">
      <c r="A47" s="22"/>
      <c r="B47" s="23"/>
      <c r="C47" s="23"/>
      <c r="F47" s="22"/>
      <c r="G47" s="22"/>
    </row>
    <row r="48" spans="1:15">
      <c r="A48" s="22"/>
      <c r="B48" s="23"/>
      <c r="C48" s="23"/>
      <c r="F48" s="22"/>
      <c r="G48" s="22"/>
    </row>
    <row r="49" spans="1:7">
      <c r="A49" s="22"/>
      <c r="B49" s="23"/>
      <c r="C49" s="23"/>
      <c r="F49" s="22"/>
      <c r="G49" s="22"/>
    </row>
    <row r="50" spans="1:7">
      <c r="A50" s="22"/>
      <c r="B50" s="23"/>
      <c r="C50" s="23"/>
      <c r="F50" s="22"/>
      <c r="G50" s="22"/>
    </row>
    <row r="51" spans="1:7">
      <c r="A51" s="22"/>
      <c r="B51" s="23"/>
      <c r="C51" s="23"/>
      <c r="F51" s="22"/>
      <c r="G51" s="22"/>
    </row>
    <row r="52" spans="1:7">
      <c r="A52" s="22"/>
      <c r="B52" s="23"/>
      <c r="C52" s="23"/>
      <c r="F52" s="22"/>
      <c r="G52" s="22"/>
    </row>
    <row r="53" spans="1:7">
      <c r="A53" s="22"/>
      <c r="B53" s="23"/>
      <c r="C53" s="23"/>
      <c r="F53" s="22"/>
      <c r="G53" s="22"/>
    </row>
    <row r="54" spans="1:7">
      <c r="A54" s="22"/>
      <c r="B54" s="23"/>
      <c r="C54" s="23"/>
      <c r="F54" s="22"/>
      <c r="G54" s="22"/>
    </row>
    <row r="55" spans="1:7">
      <c r="A55" s="22"/>
      <c r="B55" s="23"/>
      <c r="C55" s="23"/>
      <c r="F55" s="22"/>
      <c r="G55" s="22"/>
    </row>
    <row r="56" spans="1:7">
      <c r="A56" s="22"/>
      <c r="B56" s="23"/>
      <c r="C56" s="23"/>
      <c r="F56" s="22"/>
      <c r="G56" s="22"/>
    </row>
    <row r="57" spans="1:7">
      <c r="A57" s="22"/>
      <c r="B57" s="23"/>
      <c r="C57" s="23"/>
      <c r="F57" s="22"/>
      <c r="G57" s="22"/>
    </row>
    <row r="58" spans="1:7">
      <c r="A58" s="22"/>
      <c r="B58" s="23"/>
      <c r="C58" s="23"/>
      <c r="F58" s="22"/>
      <c r="G58" s="22"/>
    </row>
    <row r="59" spans="1:7">
      <c r="A59" s="22"/>
      <c r="B59" s="23"/>
      <c r="C59" s="23"/>
      <c r="F59" s="22"/>
      <c r="G59" s="22"/>
    </row>
    <row r="60" spans="1:7">
      <c r="A60" s="22"/>
      <c r="B60" s="23"/>
      <c r="C60" s="23"/>
      <c r="F60" s="22"/>
      <c r="G60" s="22"/>
    </row>
    <row r="61" spans="1:7">
      <c r="A61" s="22"/>
      <c r="B61" s="23"/>
      <c r="C61" s="23"/>
      <c r="F61" s="22"/>
      <c r="G61" s="22"/>
    </row>
    <row r="62" spans="1:7">
      <c r="A62" s="22"/>
      <c r="B62" s="23"/>
      <c r="C62" s="23"/>
      <c r="F62" s="22"/>
      <c r="G62" s="22"/>
    </row>
    <row r="63" spans="1:7">
      <c r="A63" s="22"/>
      <c r="B63" s="23"/>
      <c r="C63" s="23"/>
      <c r="F63" s="22"/>
      <c r="G63" s="22"/>
    </row>
    <row r="64" spans="1:7">
      <c r="A64" s="22"/>
      <c r="B64" s="23"/>
      <c r="C64" s="23"/>
      <c r="F64" s="22"/>
      <c r="G64" s="22"/>
    </row>
    <row r="65" spans="1:7">
      <c r="A65" s="22"/>
      <c r="B65" s="23"/>
      <c r="C65" s="23"/>
      <c r="F65" s="22"/>
      <c r="G65" s="22"/>
    </row>
    <row r="66" spans="1:7">
      <c r="A66" s="22"/>
      <c r="B66" s="23"/>
      <c r="C66" s="23"/>
      <c r="F66" s="22"/>
      <c r="G66" s="22"/>
    </row>
    <row r="67" spans="1:7">
      <c r="A67" s="22"/>
      <c r="B67" s="23"/>
      <c r="C67" s="23"/>
      <c r="F67" s="22"/>
      <c r="G67" s="22"/>
    </row>
    <row r="68" spans="1:7">
      <c r="A68" s="22"/>
      <c r="B68" s="23"/>
      <c r="C68" s="23"/>
      <c r="F68" s="22"/>
      <c r="G68" s="22"/>
    </row>
    <row r="69" spans="1:7">
      <c r="A69" s="22"/>
      <c r="B69" s="23"/>
      <c r="C69" s="23"/>
      <c r="F69" s="22"/>
      <c r="G69" s="22"/>
    </row>
    <row r="70" spans="1:7">
      <c r="A70" s="22"/>
      <c r="B70" s="23"/>
      <c r="C70" s="23"/>
      <c r="F70" s="22"/>
      <c r="G70" s="22"/>
    </row>
    <row r="71" spans="1:7">
      <c r="A71" s="22"/>
      <c r="B71" s="23"/>
      <c r="C71" s="23"/>
      <c r="F71" s="22"/>
      <c r="G71" s="22"/>
    </row>
    <row r="72" spans="1:7">
      <c r="A72" s="22"/>
      <c r="B72" s="23"/>
      <c r="C72" s="23"/>
      <c r="F72" s="22"/>
      <c r="G72" s="22"/>
    </row>
    <row r="73" spans="1:7">
      <c r="A73" s="22"/>
      <c r="B73" s="23"/>
      <c r="C73" s="23"/>
      <c r="F73" s="22"/>
      <c r="G73" s="22"/>
    </row>
    <row r="74" spans="1:7">
      <c r="A74" s="22"/>
      <c r="B74" s="23"/>
      <c r="C74" s="23"/>
      <c r="F74" s="22"/>
      <c r="G74" s="22"/>
    </row>
    <row r="75" spans="1:7">
      <c r="A75" s="22"/>
      <c r="B75" s="23"/>
      <c r="C75" s="23"/>
      <c r="F75" s="22"/>
      <c r="G75" s="22"/>
    </row>
    <row r="76" spans="1:7">
      <c r="A76" s="22"/>
      <c r="B76" s="23"/>
      <c r="C76" s="23"/>
      <c r="F76" s="22"/>
      <c r="G76" s="22"/>
    </row>
    <row r="77" spans="1:7">
      <c r="A77" s="22"/>
      <c r="B77" s="23"/>
      <c r="C77" s="23"/>
      <c r="F77" s="22"/>
      <c r="G77" s="22"/>
    </row>
    <row r="78" spans="1:7">
      <c r="A78" s="22"/>
      <c r="B78" s="23"/>
      <c r="C78" s="23"/>
      <c r="F78" s="22"/>
      <c r="G78" s="22"/>
    </row>
    <row r="79" spans="1:7">
      <c r="A79" s="22"/>
      <c r="B79" s="23"/>
      <c r="C79" s="23"/>
      <c r="F79" s="22"/>
      <c r="G79" s="22"/>
    </row>
    <row r="80" spans="1:7">
      <c r="A80" s="22"/>
      <c r="B80" s="23"/>
      <c r="C80" s="23"/>
      <c r="F80" s="22"/>
      <c r="G80" s="22"/>
    </row>
    <row r="81" spans="1:7">
      <c r="A81" s="22"/>
      <c r="B81" s="23"/>
      <c r="C81" s="23"/>
      <c r="F81" s="22"/>
      <c r="G81" s="22"/>
    </row>
    <row r="82" spans="1:7">
      <c r="A82" s="22"/>
      <c r="B82" s="23"/>
      <c r="C82" s="23"/>
      <c r="F82" s="22"/>
      <c r="G82" s="22"/>
    </row>
    <row r="83" spans="1:7">
      <c r="A83" s="22"/>
      <c r="B83" s="23"/>
      <c r="C83" s="23"/>
      <c r="F83" s="22"/>
      <c r="G83" s="22"/>
    </row>
    <row r="84" spans="1:7">
      <c r="A84" s="22"/>
      <c r="B84" s="23"/>
      <c r="C84" s="23"/>
      <c r="F84" s="22"/>
      <c r="G84" s="22"/>
    </row>
    <row r="85" spans="1:7">
      <c r="A85" s="22"/>
      <c r="B85" s="23"/>
      <c r="C85" s="23"/>
      <c r="F85" s="22"/>
      <c r="G85" s="22"/>
    </row>
    <row r="86" spans="1:7">
      <c r="A86" s="22"/>
      <c r="B86" s="23"/>
      <c r="C86" s="23"/>
      <c r="F86" s="22"/>
      <c r="G86" s="22"/>
    </row>
    <row r="87" spans="1:7">
      <c r="A87" s="22"/>
      <c r="B87" s="23"/>
      <c r="C87" s="23"/>
      <c r="F87" s="22"/>
      <c r="G87" s="22"/>
    </row>
    <row r="88" spans="1:7">
      <c r="A88" s="22"/>
      <c r="B88" s="23"/>
      <c r="C88" s="23"/>
      <c r="F88" s="22"/>
      <c r="G88" s="22"/>
    </row>
    <row r="89" spans="1:7">
      <c r="A89" s="22"/>
      <c r="B89" s="23"/>
      <c r="C89" s="23"/>
      <c r="F89" s="22"/>
      <c r="G89" s="22"/>
    </row>
    <row r="90" spans="1:7">
      <c r="A90" s="22"/>
      <c r="B90" s="23"/>
      <c r="C90" s="23"/>
      <c r="F90" s="22"/>
      <c r="G90" s="22"/>
    </row>
    <row r="91" spans="1:7">
      <c r="A91" s="22"/>
      <c r="B91" s="23"/>
      <c r="C91" s="23"/>
      <c r="F91" s="22"/>
      <c r="G91" s="22"/>
    </row>
    <row r="92" spans="1:7">
      <c r="A92" s="22"/>
      <c r="B92" s="23"/>
      <c r="C92" s="23"/>
      <c r="F92" s="22"/>
      <c r="G92" s="22"/>
    </row>
    <row r="93" spans="1:7">
      <c r="A93" s="22"/>
      <c r="B93" s="23"/>
      <c r="C93" s="23"/>
      <c r="F93" s="22"/>
      <c r="G93" s="22"/>
    </row>
    <row r="94" spans="1:7">
      <c r="A94" s="22"/>
      <c r="B94" s="23"/>
      <c r="C94" s="23"/>
      <c r="F94" s="22"/>
      <c r="G94" s="22"/>
    </row>
    <row r="95" spans="1:7">
      <c r="A95" s="22"/>
      <c r="B95" s="23"/>
      <c r="C95" s="23"/>
      <c r="F95" s="22"/>
      <c r="G95" s="22"/>
    </row>
    <row r="96" spans="1:7">
      <c r="A96" s="22"/>
      <c r="B96" s="23"/>
      <c r="C96" s="23"/>
      <c r="F96" s="22"/>
      <c r="G96" s="22"/>
    </row>
    <row r="97" spans="1:7">
      <c r="A97" s="22"/>
      <c r="B97" s="23"/>
      <c r="C97" s="23"/>
      <c r="F97" s="22"/>
      <c r="G97" s="22"/>
    </row>
    <row r="98" spans="1:7">
      <c r="A98" s="22"/>
      <c r="B98" s="23"/>
      <c r="C98" s="23"/>
      <c r="F98" s="22"/>
      <c r="G98" s="22"/>
    </row>
    <row r="99" spans="1:7">
      <c r="A99" s="22"/>
      <c r="B99" s="23"/>
      <c r="C99" s="23"/>
      <c r="F99" s="22"/>
      <c r="G99" s="22"/>
    </row>
    <row r="100" spans="1:7">
      <c r="A100" s="22"/>
      <c r="B100" s="23"/>
      <c r="C100" s="23"/>
      <c r="F100" s="22"/>
      <c r="G100" s="22"/>
    </row>
    <row r="101" spans="1:7">
      <c r="A101" s="22"/>
      <c r="B101" s="23"/>
      <c r="C101" s="23"/>
      <c r="F101" s="22"/>
      <c r="G101" s="22"/>
    </row>
    <row r="102" spans="1:7">
      <c r="A102" s="22"/>
      <c r="B102" s="23"/>
      <c r="C102" s="23"/>
      <c r="F102" s="22"/>
      <c r="G102" s="22"/>
    </row>
    <row r="103" spans="1:7">
      <c r="A103" s="22"/>
      <c r="B103" s="23"/>
      <c r="C103" s="23"/>
      <c r="F103" s="22"/>
      <c r="G103" s="22"/>
    </row>
    <row r="104" spans="1:7">
      <c r="A104" s="22"/>
      <c r="B104" s="23"/>
      <c r="C104" s="23"/>
      <c r="F104" s="22"/>
      <c r="G104" s="22"/>
    </row>
    <row r="105" spans="1:7">
      <c r="A105" s="22"/>
      <c r="B105" s="23"/>
      <c r="C105" s="23"/>
      <c r="F105" s="22"/>
      <c r="G105" s="22"/>
    </row>
    <row r="106" spans="1:7">
      <c r="A106" s="22"/>
      <c r="B106" s="23"/>
      <c r="C106" s="23"/>
      <c r="F106" s="22"/>
      <c r="G106" s="22"/>
    </row>
    <row r="107" spans="1:7">
      <c r="A107" s="22"/>
      <c r="B107" s="23"/>
      <c r="C107" s="23"/>
      <c r="F107" s="22"/>
      <c r="G107" s="22"/>
    </row>
    <row r="108" spans="1:7">
      <c r="A108" s="22"/>
      <c r="B108" s="23"/>
      <c r="C108" s="23"/>
      <c r="F108" s="22"/>
      <c r="G108" s="22"/>
    </row>
    <row r="109" spans="1:7">
      <c r="A109" s="22"/>
      <c r="B109" s="23"/>
      <c r="C109" s="23"/>
      <c r="F109" s="22"/>
      <c r="G109" s="22"/>
    </row>
    <row r="110" spans="1:7">
      <c r="A110" s="22"/>
      <c r="B110" s="23"/>
      <c r="C110" s="23"/>
      <c r="F110" s="22"/>
      <c r="G110" s="22"/>
    </row>
    <row r="111" spans="1:7">
      <c r="A111" s="22"/>
      <c r="B111" s="23"/>
      <c r="C111" s="23"/>
      <c r="F111" s="22"/>
      <c r="G111" s="22"/>
    </row>
    <row r="112" spans="1:7">
      <c r="A112" s="22"/>
      <c r="B112" s="23"/>
      <c r="C112" s="23"/>
      <c r="F112" s="22"/>
      <c r="G112" s="22"/>
    </row>
    <row r="113" spans="1:16">
      <c r="A113" s="22"/>
      <c r="B113" s="23"/>
      <c r="C113" s="23"/>
      <c r="F113" s="22"/>
      <c r="G113" s="22"/>
    </row>
    <row r="114" spans="1:16">
      <c r="A114" s="22"/>
      <c r="B114" s="23"/>
      <c r="C114" s="23"/>
      <c r="F114" s="22"/>
      <c r="G114" s="22"/>
    </row>
    <row r="115" spans="1:16">
      <c r="A115" s="22"/>
      <c r="B115" s="23"/>
      <c r="C115" s="23"/>
      <c r="F115" s="22"/>
      <c r="G115" s="22"/>
    </row>
    <row r="116" spans="1:16">
      <c r="A116" s="22"/>
      <c r="B116" s="23"/>
      <c r="C116" s="23"/>
      <c r="F116" s="22"/>
      <c r="G116" s="22"/>
    </row>
    <row r="117" spans="1:16">
      <c r="A117" s="22"/>
      <c r="B117" s="23"/>
      <c r="C117" s="23"/>
      <c r="F117" s="22"/>
      <c r="G117" s="22"/>
    </row>
    <row r="118" spans="1:16">
      <c r="A118" s="22"/>
      <c r="B118" s="23"/>
      <c r="C118" s="23"/>
      <c r="F118" s="22"/>
      <c r="G118" s="22"/>
    </row>
    <row r="119" spans="1:16">
      <c r="A119" s="22"/>
      <c r="B119" s="23"/>
      <c r="C119" s="23"/>
      <c r="F119" s="22"/>
      <c r="G119" s="22"/>
    </row>
    <row r="120" spans="1:16">
      <c r="A120" s="22"/>
      <c r="B120" s="23"/>
      <c r="C120" s="23"/>
      <c r="F120" s="22"/>
      <c r="G120" s="22"/>
    </row>
    <row r="121" spans="1:16">
      <c r="A121" s="22"/>
      <c r="B121" s="23"/>
      <c r="C121" s="23"/>
      <c r="F121" s="22"/>
      <c r="G121" s="22"/>
    </row>
    <row r="122" spans="1:16" s="30" customFormat="1" ht="15.75">
      <c r="A122" s="22"/>
      <c r="B122" s="23"/>
      <c r="C122" s="23"/>
      <c r="F122" s="22"/>
      <c r="G122" s="39"/>
      <c r="L122" s="40"/>
      <c r="M122" s="39"/>
      <c r="N122" s="39"/>
      <c r="P122" s="41"/>
    </row>
    <row r="123" spans="1:16">
      <c r="A123" s="22"/>
      <c r="B123" s="23"/>
      <c r="C123" s="23"/>
      <c r="F123" s="22"/>
      <c r="G123" s="22"/>
    </row>
    <row r="124" spans="1:16">
      <c r="A124" s="22"/>
      <c r="B124" s="23"/>
      <c r="C124" s="23"/>
      <c r="F124" s="22"/>
      <c r="G124" s="22"/>
    </row>
    <row r="125" spans="1:16">
      <c r="A125" s="22"/>
      <c r="B125" s="23"/>
      <c r="C125" s="23"/>
      <c r="F125" s="22"/>
      <c r="G125" s="22"/>
    </row>
    <row r="126" spans="1:16">
      <c r="A126" s="22"/>
      <c r="B126" s="23"/>
      <c r="C126" s="23"/>
      <c r="F126" s="22"/>
      <c r="G126" s="22"/>
    </row>
    <row r="127" spans="1:16">
      <c r="A127" s="22"/>
      <c r="B127" s="23"/>
      <c r="C127" s="23"/>
      <c r="F127" s="22"/>
      <c r="G127" s="22"/>
    </row>
    <row r="128" spans="1:16">
      <c r="A128" s="22"/>
      <c r="B128" s="23"/>
      <c r="C128" s="23"/>
      <c r="F128" s="22"/>
      <c r="G128" s="22"/>
    </row>
    <row r="129" spans="1:16" s="30" customFormat="1" ht="15.75">
      <c r="A129" s="22"/>
      <c r="B129" s="23"/>
      <c r="C129" s="23"/>
      <c r="F129" s="22"/>
      <c r="G129" s="39"/>
      <c r="L129" s="40"/>
      <c r="M129" s="39"/>
      <c r="N129" s="39"/>
      <c r="P129" s="41"/>
    </row>
    <row r="130" spans="1:16" s="30" customFormat="1" ht="15.75">
      <c r="A130" s="22"/>
      <c r="B130" s="23"/>
      <c r="C130" s="23"/>
      <c r="F130" s="22"/>
      <c r="G130" s="39"/>
      <c r="L130" s="40"/>
      <c r="M130" s="39"/>
      <c r="N130" s="39"/>
      <c r="P130" s="41"/>
    </row>
    <row r="131" spans="1:16">
      <c r="A131" s="22"/>
      <c r="B131" s="23"/>
      <c r="C131" s="23"/>
      <c r="F131" s="22"/>
      <c r="G131" s="22"/>
    </row>
    <row r="132" spans="1:16">
      <c r="A132" s="22"/>
      <c r="B132" s="23"/>
      <c r="C132" s="23"/>
      <c r="F132" s="22"/>
      <c r="G132" s="22"/>
    </row>
    <row r="133" spans="1:16">
      <c r="A133" s="22"/>
      <c r="B133" s="23"/>
      <c r="C133" s="23"/>
      <c r="F133" s="22"/>
      <c r="G133" s="22"/>
    </row>
    <row r="134" spans="1:16">
      <c r="A134" s="22"/>
      <c r="B134" s="23"/>
      <c r="C134" s="23"/>
      <c r="F134" s="22"/>
      <c r="G134" s="22"/>
    </row>
    <row r="135" spans="1:16">
      <c r="A135" s="22"/>
      <c r="B135" s="23"/>
      <c r="C135" s="23"/>
      <c r="F135" s="22"/>
      <c r="G135" s="22"/>
    </row>
    <row r="136" spans="1:16">
      <c r="A136" s="22"/>
      <c r="B136" s="23"/>
      <c r="C136" s="23"/>
      <c r="F136" s="22"/>
      <c r="G136" s="22"/>
    </row>
    <row r="137" spans="1:16">
      <c r="A137" s="22"/>
      <c r="B137" s="23"/>
      <c r="C137" s="23"/>
      <c r="F137" s="22"/>
      <c r="G137" s="22"/>
    </row>
    <row r="138" spans="1:16">
      <c r="A138" s="22"/>
      <c r="B138" s="23"/>
      <c r="C138" s="23"/>
      <c r="F138" s="22"/>
      <c r="G138" s="22"/>
    </row>
    <row r="139" spans="1:16">
      <c r="A139" s="22"/>
      <c r="B139" s="23"/>
      <c r="C139" s="23"/>
      <c r="F139" s="22"/>
      <c r="G139" s="22"/>
    </row>
    <row r="140" spans="1:16">
      <c r="A140" s="22"/>
      <c r="B140" s="23"/>
      <c r="C140" s="23"/>
      <c r="F140" s="22"/>
      <c r="G140" s="22"/>
    </row>
    <row r="141" spans="1:16">
      <c r="A141" s="22"/>
      <c r="B141" s="23"/>
      <c r="C141" s="23"/>
      <c r="F141" s="22"/>
      <c r="G141" s="22"/>
    </row>
    <row r="142" spans="1:16">
      <c r="A142" s="22"/>
      <c r="B142" s="23"/>
      <c r="C142" s="23"/>
      <c r="F142" s="22"/>
      <c r="G142" s="22"/>
    </row>
    <row r="143" spans="1:16">
      <c r="A143" s="22"/>
      <c r="B143" s="23"/>
      <c r="C143" s="23"/>
      <c r="F143" s="22"/>
      <c r="G143" s="22"/>
    </row>
    <row r="144" spans="1:16">
      <c r="A144" s="22"/>
      <c r="B144" s="23"/>
      <c r="C144" s="23"/>
      <c r="F144" s="22"/>
      <c r="G144" s="22"/>
    </row>
    <row r="145" spans="1:7">
      <c r="A145" s="22"/>
      <c r="B145" s="23"/>
      <c r="C145" s="23"/>
      <c r="F145" s="22"/>
      <c r="G145" s="22"/>
    </row>
    <row r="146" spans="1:7">
      <c r="A146" s="22"/>
      <c r="B146" s="23"/>
      <c r="C146" s="23"/>
      <c r="F146" s="22"/>
      <c r="G146" s="22"/>
    </row>
    <row r="147" spans="1:7">
      <c r="A147" s="22"/>
      <c r="B147" s="23"/>
      <c r="C147" s="23"/>
      <c r="F147" s="22"/>
      <c r="G147" s="22"/>
    </row>
    <row r="148" spans="1:7">
      <c r="A148" s="22"/>
      <c r="B148" s="23"/>
      <c r="C148" s="23"/>
      <c r="F148" s="22"/>
      <c r="G148" s="22"/>
    </row>
    <row r="149" spans="1:7">
      <c r="A149" s="22"/>
      <c r="B149" s="23"/>
      <c r="C149" s="23"/>
      <c r="F149" s="22"/>
      <c r="G149" s="22"/>
    </row>
    <row r="150" spans="1:7">
      <c r="A150" s="22"/>
      <c r="B150" s="23"/>
      <c r="C150" s="23"/>
      <c r="F150" s="22"/>
      <c r="G150" s="22"/>
    </row>
    <row r="151" spans="1:7">
      <c r="A151" s="22"/>
      <c r="B151" s="23"/>
      <c r="C151" s="23"/>
      <c r="F151" s="22"/>
      <c r="G151" s="22"/>
    </row>
    <row r="152" spans="1:7">
      <c r="A152" s="22"/>
      <c r="B152" s="23"/>
      <c r="C152" s="23"/>
      <c r="F152" s="22"/>
      <c r="G152" s="22"/>
    </row>
    <row r="153" spans="1:7">
      <c r="A153" s="22"/>
      <c r="B153" s="23"/>
      <c r="C153" s="23"/>
      <c r="F153" s="22"/>
      <c r="G153" s="22"/>
    </row>
    <row r="154" spans="1:7">
      <c r="A154" s="22"/>
      <c r="B154" s="23"/>
      <c r="C154" s="23"/>
      <c r="F154" s="22"/>
      <c r="G154" s="22"/>
    </row>
    <row r="155" spans="1:7">
      <c r="A155" s="22"/>
      <c r="B155" s="23"/>
      <c r="C155" s="23"/>
      <c r="F155" s="22"/>
      <c r="G155" s="22"/>
    </row>
    <row r="156" spans="1:7">
      <c r="A156" s="22"/>
      <c r="B156" s="23"/>
      <c r="C156" s="23"/>
      <c r="F156" s="22"/>
      <c r="G156" s="22"/>
    </row>
    <row r="157" spans="1:7">
      <c r="A157" s="22"/>
      <c r="B157" s="23"/>
      <c r="C157" s="23"/>
      <c r="F157" s="22"/>
      <c r="G157" s="22"/>
    </row>
    <row r="158" spans="1:7">
      <c r="A158" s="22"/>
      <c r="B158" s="23"/>
      <c r="C158" s="23"/>
      <c r="F158" s="22"/>
      <c r="G158" s="22"/>
    </row>
    <row r="159" spans="1:7">
      <c r="A159" s="22"/>
      <c r="B159" s="23"/>
      <c r="C159" s="23"/>
      <c r="F159" s="22"/>
      <c r="G159" s="22"/>
    </row>
    <row r="160" spans="1:7">
      <c r="A160" s="22"/>
      <c r="B160" s="23"/>
      <c r="C160" s="23"/>
      <c r="F160" s="22"/>
      <c r="G160" s="22"/>
    </row>
    <row r="161" spans="1:7">
      <c r="A161" s="22"/>
      <c r="B161" s="23"/>
      <c r="C161" s="23"/>
      <c r="F161" s="22"/>
      <c r="G161" s="22"/>
    </row>
    <row r="162" spans="1:7">
      <c r="A162" s="22"/>
      <c r="B162" s="23"/>
      <c r="C162" s="23"/>
      <c r="F162" s="22"/>
      <c r="G162" s="22"/>
    </row>
    <row r="163" spans="1:7">
      <c r="A163" s="22"/>
      <c r="B163" s="23"/>
      <c r="C163" s="23"/>
      <c r="F163" s="22"/>
      <c r="G163" s="22"/>
    </row>
    <row r="164" spans="1:7">
      <c r="A164" s="22"/>
      <c r="B164" s="23"/>
      <c r="C164" s="23"/>
      <c r="F164" s="22"/>
      <c r="G164" s="22"/>
    </row>
    <row r="165" spans="1:7">
      <c r="A165" s="22"/>
      <c r="B165" s="23"/>
      <c r="C165" s="23"/>
      <c r="F165" s="22"/>
      <c r="G165" s="22"/>
    </row>
    <row r="166" spans="1:7">
      <c r="A166" s="22"/>
      <c r="B166" s="23"/>
      <c r="C166" s="23"/>
      <c r="F166" s="22"/>
      <c r="G166" s="22"/>
    </row>
    <row r="167" spans="1:7">
      <c r="A167" s="22"/>
      <c r="B167" s="23"/>
      <c r="C167" s="23"/>
      <c r="F167" s="22"/>
    </row>
    <row r="168" spans="1:7">
      <c r="A168" s="22"/>
      <c r="B168" s="23"/>
      <c r="C168" s="23"/>
      <c r="F168" s="22"/>
    </row>
    <row r="169" spans="1:7">
      <c r="A169" s="22"/>
      <c r="B169" s="23"/>
      <c r="C169" s="23"/>
      <c r="F169" s="22"/>
    </row>
    <row r="170" spans="1:7">
      <c r="A170" s="22"/>
      <c r="B170" s="23"/>
      <c r="C170" s="23"/>
      <c r="F170" s="22"/>
    </row>
    <row r="171" spans="1:7">
      <c r="A171" s="22"/>
      <c r="B171" s="23"/>
      <c r="C171" s="23"/>
      <c r="F171" s="22"/>
    </row>
    <row r="172" spans="1:7">
      <c r="A172" s="22"/>
      <c r="B172" s="23"/>
      <c r="C172" s="23"/>
      <c r="F172" s="22"/>
    </row>
    <row r="173" spans="1:7">
      <c r="A173" s="22"/>
      <c r="B173" s="23"/>
      <c r="C173" s="23"/>
      <c r="F173" s="22"/>
    </row>
    <row r="174" spans="1:7">
      <c r="A174" s="22"/>
      <c r="B174" s="23"/>
      <c r="C174" s="23"/>
      <c r="F174" s="22"/>
    </row>
    <row r="175" spans="1:7">
      <c r="A175" s="22"/>
      <c r="B175" s="23"/>
      <c r="C175" s="23"/>
      <c r="F175" s="22"/>
    </row>
    <row r="176" spans="1:7">
      <c r="A176" s="22"/>
      <c r="B176" s="23"/>
      <c r="C176" s="23"/>
      <c r="F176" s="22"/>
    </row>
    <row r="177" spans="1:6">
      <c r="A177" s="22"/>
      <c r="B177" s="23"/>
      <c r="C177" s="23"/>
      <c r="F177" s="22"/>
    </row>
    <row r="178" spans="1:6">
      <c r="A178" s="22"/>
      <c r="B178" s="23"/>
      <c r="C178" s="23"/>
      <c r="F178" s="22"/>
    </row>
    <row r="179" spans="1:6">
      <c r="A179" s="22"/>
      <c r="B179" s="23"/>
      <c r="C179" s="23"/>
      <c r="F179" s="22"/>
    </row>
    <row r="180" spans="1:6">
      <c r="A180" s="22"/>
      <c r="B180" s="23"/>
      <c r="C180" s="23"/>
      <c r="F180" s="22"/>
    </row>
    <row r="181" spans="1:6">
      <c r="A181" s="22"/>
      <c r="B181" s="23"/>
      <c r="C181" s="23"/>
      <c r="F181" s="22"/>
    </row>
    <row r="182" spans="1:6">
      <c r="A182" s="22"/>
      <c r="B182" s="23"/>
      <c r="C182" s="23"/>
      <c r="F182" s="22"/>
    </row>
    <row r="183" spans="1:6">
      <c r="A183" s="22"/>
      <c r="B183" s="23"/>
      <c r="C183" s="23"/>
      <c r="F183" s="22"/>
    </row>
    <row r="184" spans="1:6">
      <c r="A184" s="22"/>
      <c r="B184" s="23"/>
      <c r="C184" s="23"/>
      <c r="F184" s="22"/>
    </row>
    <row r="185" spans="1:6">
      <c r="A185" s="22"/>
      <c r="B185" s="23"/>
      <c r="C185" s="23"/>
      <c r="F185" s="22"/>
    </row>
    <row r="186" spans="1:6">
      <c r="A186" s="22"/>
      <c r="B186" s="23"/>
      <c r="C186" s="23"/>
      <c r="F186" s="22"/>
    </row>
    <row r="187" spans="1:6">
      <c r="A187" s="22"/>
      <c r="B187" s="23"/>
      <c r="C187" s="23"/>
      <c r="F187" s="22"/>
    </row>
    <row r="188" spans="1:6">
      <c r="A188" s="22"/>
      <c r="B188" s="23"/>
      <c r="C188" s="23"/>
      <c r="F188" s="22"/>
    </row>
    <row r="189" spans="1:6">
      <c r="A189" s="22"/>
      <c r="B189" s="23"/>
      <c r="C189" s="23"/>
      <c r="F189" s="22"/>
    </row>
    <row r="190" spans="1:6">
      <c r="A190" s="22"/>
      <c r="B190" s="23"/>
      <c r="C190" s="23"/>
      <c r="F190" s="22"/>
    </row>
    <row r="191" spans="1:6">
      <c r="A191" s="22"/>
      <c r="B191" s="23"/>
      <c r="C191" s="23"/>
      <c r="F191" s="22"/>
    </row>
    <row r="192" spans="1:6">
      <c r="A192" s="22"/>
      <c r="B192" s="23"/>
      <c r="C192" s="23"/>
      <c r="F192" s="22"/>
    </row>
    <row r="193" spans="1:6">
      <c r="A193" s="22"/>
      <c r="B193" s="23"/>
      <c r="C193" s="23"/>
      <c r="F193" s="22"/>
    </row>
    <row r="194" spans="1:6">
      <c r="A194" s="22"/>
      <c r="B194" s="23"/>
      <c r="C194" s="23"/>
      <c r="F194" s="22"/>
    </row>
  </sheetData>
  <mergeCells count="1">
    <mergeCell ref="M1:Q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activeCell="H7" sqref="E4:H7"/>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6" width="26.140625" customWidth="1"/>
    <col min="7" max="7" width="18.5703125" style="23" customWidth="1"/>
    <col min="8" max="8" width="6.5703125" style="23" customWidth="1"/>
    <col min="9" max="9" width="5.5703125" customWidth="1"/>
    <col min="10" max="11" width="7.570312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s="22" customFormat="1">
      <c r="B2" s="22">
        <f>HEX2DEC(C2)</f>
        <v>8192</v>
      </c>
      <c r="C2" s="1" t="s">
        <v>743</v>
      </c>
      <c r="F2" s="22" t="s">
        <v>744</v>
      </c>
      <c r="I2" s="24"/>
    </row>
    <row r="3" spans="1:11" s="22" customFormat="1">
      <c r="A3" s="22">
        <v>1</v>
      </c>
      <c r="B3" s="23">
        <f t="shared" ref="B3:B18" si="0">$B$2+A3-1</f>
        <v>8192</v>
      </c>
      <c r="C3" s="23" t="str">
        <f t="shared" ref="C3:C18" si="1">DEC2HEX(B3,4)</f>
        <v>2000</v>
      </c>
      <c r="E3" s="22" t="s">
        <v>132</v>
      </c>
      <c r="F3" s="22" t="s">
        <v>239</v>
      </c>
      <c r="G3" s="22" t="s">
        <v>231</v>
      </c>
      <c r="H3" s="22" t="s">
        <v>232</v>
      </c>
      <c r="I3" s="24"/>
    </row>
    <row r="4" spans="1:11" s="22" customFormat="1">
      <c r="A4" s="22">
        <v>2</v>
      </c>
      <c r="B4" s="23">
        <f t="shared" si="0"/>
        <v>8193</v>
      </c>
      <c r="C4" s="23" t="str">
        <f t="shared" si="1"/>
        <v>2001</v>
      </c>
      <c r="E4" s="1" t="s">
        <v>132</v>
      </c>
      <c r="F4" s="1" t="s">
        <v>240</v>
      </c>
      <c r="G4" s="1" t="s">
        <v>231</v>
      </c>
      <c r="H4" s="1" t="s">
        <v>234</v>
      </c>
      <c r="I4" s="24"/>
    </row>
    <row r="5" spans="1:11" s="22" customFormat="1">
      <c r="A5" s="22">
        <v>3</v>
      </c>
      <c r="B5" s="23">
        <f t="shared" si="0"/>
        <v>8194</v>
      </c>
      <c r="C5" s="23" t="str">
        <f t="shared" si="1"/>
        <v>2002</v>
      </c>
      <c r="E5" s="1" t="s">
        <v>132</v>
      </c>
      <c r="F5" s="1" t="s">
        <v>241</v>
      </c>
      <c r="G5" s="1" t="s">
        <v>231</v>
      </c>
      <c r="H5" s="1" t="s">
        <v>236</v>
      </c>
      <c r="I5" s="24"/>
    </row>
    <row r="6" spans="1:11" s="22" customFormat="1">
      <c r="A6" s="22">
        <v>4</v>
      </c>
      <c r="B6" s="23">
        <f t="shared" si="0"/>
        <v>8195</v>
      </c>
      <c r="C6" s="23" t="str">
        <f t="shared" si="1"/>
        <v>2003</v>
      </c>
      <c r="E6" s="1" t="s">
        <v>132</v>
      </c>
      <c r="F6" s="1" t="s">
        <v>242</v>
      </c>
      <c r="G6" s="1" t="s">
        <v>231</v>
      </c>
      <c r="H6" s="1" t="s">
        <v>364</v>
      </c>
      <c r="I6" s="24"/>
    </row>
    <row r="7" spans="1:11" s="22" customFormat="1">
      <c r="A7" s="22">
        <v>5</v>
      </c>
      <c r="B7" s="23">
        <f t="shared" si="0"/>
        <v>8196</v>
      </c>
      <c r="C7" s="23" t="str">
        <f t="shared" si="1"/>
        <v>2004</v>
      </c>
      <c r="E7" s="1"/>
      <c r="F7" s="1"/>
      <c r="G7" s="1"/>
      <c r="H7" s="1"/>
      <c r="I7" s="24"/>
    </row>
    <row r="8" spans="1:11" s="22" customFormat="1">
      <c r="A8" s="22">
        <v>6</v>
      </c>
      <c r="B8" s="23">
        <f t="shared" si="0"/>
        <v>8197</v>
      </c>
      <c r="C8" s="23" t="str">
        <f t="shared" si="1"/>
        <v>2005</v>
      </c>
      <c r="I8" s="24"/>
    </row>
    <row r="9" spans="1:11" s="22" customFormat="1">
      <c r="A9" s="22">
        <v>7</v>
      </c>
      <c r="B9" s="23">
        <f t="shared" si="0"/>
        <v>8198</v>
      </c>
      <c r="C9" s="23" t="str">
        <f t="shared" si="1"/>
        <v>2006</v>
      </c>
      <c r="I9" s="24"/>
    </row>
    <row r="10" spans="1:11" s="22" customFormat="1">
      <c r="A10" s="22">
        <v>8</v>
      </c>
      <c r="B10" s="23">
        <f t="shared" si="0"/>
        <v>8199</v>
      </c>
      <c r="C10" s="23" t="str">
        <f t="shared" si="1"/>
        <v>2007</v>
      </c>
      <c r="I10" s="24"/>
    </row>
    <row r="11" spans="1:11" s="22" customFormat="1">
      <c r="A11" s="22">
        <v>9</v>
      </c>
      <c r="B11" s="23">
        <f t="shared" si="0"/>
        <v>8200</v>
      </c>
      <c r="C11" s="23" t="str">
        <f t="shared" si="1"/>
        <v>2008</v>
      </c>
      <c r="I11" s="24"/>
    </row>
    <row r="12" spans="1:11" s="22" customFormat="1">
      <c r="A12" s="22">
        <v>10</v>
      </c>
      <c r="B12" s="23">
        <f t="shared" si="0"/>
        <v>8201</v>
      </c>
      <c r="C12" s="23" t="str">
        <f t="shared" si="1"/>
        <v>2009</v>
      </c>
      <c r="I12" s="24"/>
    </row>
    <row r="13" spans="1:11" s="22" customFormat="1">
      <c r="A13" s="22">
        <v>11</v>
      </c>
      <c r="B13" s="23">
        <f t="shared" si="0"/>
        <v>8202</v>
      </c>
      <c r="C13" s="23" t="str">
        <f t="shared" si="1"/>
        <v>200A</v>
      </c>
      <c r="I13" s="24"/>
    </row>
    <row r="14" spans="1:11" s="22" customFormat="1">
      <c r="A14" s="22">
        <v>12</v>
      </c>
      <c r="B14" s="23">
        <f t="shared" si="0"/>
        <v>8203</v>
      </c>
      <c r="C14" s="23" t="str">
        <f t="shared" si="1"/>
        <v>200B</v>
      </c>
      <c r="I14" s="24"/>
    </row>
    <row r="15" spans="1:11" s="22" customFormat="1">
      <c r="A15" s="22">
        <v>13</v>
      </c>
      <c r="B15" s="23">
        <f t="shared" si="0"/>
        <v>8204</v>
      </c>
      <c r="C15" s="23" t="str">
        <f t="shared" si="1"/>
        <v>200C</v>
      </c>
      <c r="I15" s="24"/>
    </row>
    <row r="16" spans="1:11" s="22" customFormat="1">
      <c r="A16" s="22">
        <v>14</v>
      </c>
      <c r="B16" s="23">
        <f t="shared" si="0"/>
        <v>8205</v>
      </c>
      <c r="C16" s="23" t="str">
        <f t="shared" si="1"/>
        <v>200D</v>
      </c>
      <c r="F16" s="1"/>
      <c r="I16" s="24"/>
    </row>
    <row r="17" spans="1:9" s="22" customFormat="1">
      <c r="A17" s="22">
        <v>15</v>
      </c>
      <c r="B17" s="23">
        <f t="shared" si="0"/>
        <v>8206</v>
      </c>
      <c r="C17" s="23" t="str">
        <f t="shared" si="1"/>
        <v>200E</v>
      </c>
      <c r="F17" s="1"/>
      <c r="I17" s="24"/>
    </row>
    <row r="18" spans="1:9">
      <c r="A18" s="22">
        <v>16</v>
      </c>
      <c r="B18" s="23">
        <f t="shared" si="0"/>
        <v>8207</v>
      </c>
      <c r="C18" s="23" t="str">
        <f t="shared" si="1"/>
        <v>200F</v>
      </c>
      <c r="E18" s="22"/>
      <c r="F18" s="1"/>
      <c r="G18" s="22"/>
      <c r="H18" s="22"/>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0"/>
  <sheetViews>
    <sheetView zoomScale="115" zoomScaleNormal="115" workbookViewId="0">
      <selection activeCell="M147" sqref="M147"/>
    </sheetView>
  </sheetViews>
  <sheetFormatPr defaultColWidth="8.7109375" defaultRowHeight="15"/>
  <cols>
    <col min="1" max="1" width="5.5703125" customWidth="1"/>
    <col min="2" max="2" width="14" customWidth="1"/>
    <col min="3" max="3" width="5.5703125" customWidth="1"/>
    <col min="4" max="4" width="7.5703125" customWidth="1"/>
    <col min="5" max="5" width="5.5703125" customWidth="1"/>
    <col min="6" max="6" width="20.5703125" customWidth="1"/>
    <col min="7" max="7" width="9.7109375" style="23" customWidth="1"/>
    <col min="8" max="8" width="6.5703125" style="23" customWidth="1"/>
    <col min="9" max="9" width="55.7109375" customWidth="1"/>
    <col min="10" max="11" width="7.5703125" customWidth="1"/>
    <col min="16" max="16" width="9.5703125" style="23" customWidth="1"/>
    <col min="17" max="17" width="27.5703125" style="23" customWidth="1"/>
    <col min="18" max="18" width="9.5703125" style="23" customWidth="1"/>
    <col min="19" max="19" width="7.5703125" customWidth="1"/>
    <col min="20" max="20" width="21.85546875" customWidth="1"/>
  </cols>
  <sheetData>
    <row r="1" spans="1:11">
      <c r="A1" s="22" t="s">
        <v>99</v>
      </c>
      <c r="B1" s="22" t="s">
        <v>100</v>
      </c>
      <c r="C1" s="22" t="s">
        <v>101</v>
      </c>
      <c r="D1" s="22" t="s">
        <v>102</v>
      </c>
      <c r="E1" s="22" t="s">
        <v>103</v>
      </c>
      <c r="F1" s="22" t="s">
        <v>104</v>
      </c>
      <c r="G1" s="22" t="s">
        <v>105</v>
      </c>
      <c r="H1" s="22" t="s">
        <v>106</v>
      </c>
      <c r="I1" s="22" t="s">
        <v>107</v>
      </c>
      <c r="J1" s="22" t="s">
        <v>108</v>
      </c>
      <c r="K1" s="22" t="s">
        <v>109</v>
      </c>
    </row>
    <row r="2" spans="1:11" s="22" customFormat="1">
      <c r="B2" s="22">
        <f>HEX2DEC(C2)</f>
        <v>16384</v>
      </c>
      <c r="C2" s="1" t="s">
        <v>745</v>
      </c>
      <c r="F2" s="22" t="s">
        <v>746</v>
      </c>
      <c r="I2" s="24"/>
    </row>
    <row r="3" spans="1:11" s="22" customFormat="1" ht="347.1" customHeight="1">
      <c r="A3" s="22">
        <v>1</v>
      </c>
      <c r="B3" s="23">
        <f t="shared" ref="B3:B18" si="0">$B$2+A3-1</f>
        <v>16384</v>
      </c>
      <c r="C3" s="23" t="str">
        <f t="shared" ref="C3:C18" si="1">DEC2HEX(B3,4)</f>
        <v>4000</v>
      </c>
      <c r="F3" s="22" t="s">
        <v>747</v>
      </c>
      <c r="G3" s="24" t="s">
        <v>114</v>
      </c>
      <c r="I3" s="25" t="s">
        <v>748</v>
      </c>
    </row>
    <row r="4" spans="1:11" s="22" customFormat="1">
      <c r="A4" s="22">
        <v>2</v>
      </c>
      <c r="B4" s="23">
        <f t="shared" si="0"/>
        <v>16385</v>
      </c>
      <c r="C4" s="23" t="str">
        <f t="shared" si="1"/>
        <v>4001</v>
      </c>
      <c r="F4" s="22" t="s">
        <v>749</v>
      </c>
      <c r="G4" s="24" t="s">
        <v>114</v>
      </c>
      <c r="H4" s="1"/>
      <c r="I4" s="26" t="s">
        <v>391</v>
      </c>
    </row>
    <row r="5" spans="1:11" s="22" customFormat="1">
      <c r="A5" s="22">
        <v>3</v>
      </c>
      <c r="B5" s="23">
        <f t="shared" si="0"/>
        <v>16386</v>
      </c>
      <c r="C5" s="23" t="str">
        <f t="shared" si="1"/>
        <v>4002</v>
      </c>
      <c r="F5" s="22" t="s">
        <v>749</v>
      </c>
      <c r="G5" s="24" t="s">
        <v>114</v>
      </c>
      <c r="I5" s="24" t="s">
        <v>750</v>
      </c>
    </row>
    <row r="6" spans="1:11" s="22" customFormat="1">
      <c r="A6" s="22">
        <v>4</v>
      </c>
      <c r="B6" s="23">
        <f t="shared" si="0"/>
        <v>16387</v>
      </c>
      <c r="C6" s="23" t="str">
        <f t="shared" si="1"/>
        <v>4003</v>
      </c>
      <c r="F6" s="22" t="s">
        <v>749</v>
      </c>
      <c r="G6" s="24" t="s">
        <v>114</v>
      </c>
      <c r="I6" s="24"/>
    </row>
    <row r="7" spans="1:11" s="22" customFormat="1">
      <c r="A7" s="22">
        <v>5</v>
      </c>
      <c r="B7" s="23">
        <f t="shared" si="0"/>
        <v>16388</v>
      </c>
      <c r="C7" s="23" t="str">
        <f t="shared" si="1"/>
        <v>4004</v>
      </c>
      <c r="F7" s="22" t="s">
        <v>749</v>
      </c>
      <c r="G7" s="24" t="s">
        <v>114</v>
      </c>
      <c r="I7" s="25"/>
    </row>
    <row r="8" spans="1:11" s="22" customFormat="1">
      <c r="A8" s="22">
        <v>6</v>
      </c>
      <c r="B8" s="23">
        <f t="shared" si="0"/>
        <v>16389</v>
      </c>
      <c r="C8" s="23" t="str">
        <f t="shared" si="1"/>
        <v>4005</v>
      </c>
      <c r="F8" s="22" t="s">
        <v>749</v>
      </c>
      <c r="G8" s="24" t="s">
        <v>114</v>
      </c>
      <c r="I8" s="25"/>
    </row>
    <row r="9" spans="1:11" s="22" customFormat="1">
      <c r="A9" s="22">
        <v>7</v>
      </c>
      <c r="B9" s="23">
        <f t="shared" si="0"/>
        <v>16390</v>
      </c>
      <c r="C9" s="23" t="str">
        <f t="shared" si="1"/>
        <v>4006</v>
      </c>
      <c r="F9" s="22" t="s">
        <v>749</v>
      </c>
      <c r="G9" s="24" t="s">
        <v>114</v>
      </c>
    </row>
    <row r="10" spans="1:11" s="22" customFormat="1">
      <c r="A10" s="22">
        <v>8</v>
      </c>
      <c r="B10" s="23">
        <f t="shared" si="0"/>
        <v>16391</v>
      </c>
      <c r="C10" s="23" t="str">
        <f t="shared" si="1"/>
        <v>4007</v>
      </c>
      <c r="F10" s="22" t="s">
        <v>749</v>
      </c>
      <c r="G10" s="24" t="s">
        <v>114</v>
      </c>
      <c r="I10" s="24"/>
    </row>
    <row r="11" spans="1:11" s="22" customFormat="1">
      <c r="A11" s="22">
        <v>9</v>
      </c>
      <c r="B11" s="23">
        <f t="shared" si="0"/>
        <v>16392</v>
      </c>
      <c r="C11" s="23" t="str">
        <f t="shared" si="1"/>
        <v>4008</v>
      </c>
      <c r="F11" s="22" t="s">
        <v>749</v>
      </c>
      <c r="G11" s="24" t="s">
        <v>114</v>
      </c>
      <c r="I11" s="24"/>
    </row>
    <row r="12" spans="1:11" s="22" customFormat="1">
      <c r="A12" s="22">
        <v>10</v>
      </c>
      <c r="B12" s="23">
        <f t="shared" si="0"/>
        <v>16393</v>
      </c>
      <c r="C12" s="23" t="str">
        <f t="shared" si="1"/>
        <v>4009</v>
      </c>
      <c r="F12" s="22" t="s">
        <v>749</v>
      </c>
      <c r="G12" s="24" t="s">
        <v>114</v>
      </c>
      <c r="I12" s="24"/>
    </row>
    <row r="13" spans="1:11" s="22" customFormat="1">
      <c r="A13" s="22">
        <v>11</v>
      </c>
      <c r="B13" s="23">
        <f t="shared" si="0"/>
        <v>16394</v>
      </c>
      <c r="C13" s="23" t="str">
        <f t="shared" si="1"/>
        <v>400A</v>
      </c>
      <c r="F13" s="22" t="s">
        <v>749</v>
      </c>
      <c r="G13" s="24" t="s">
        <v>114</v>
      </c>
      <c r="I13" s="24"/>
    </row>
    <row r="14" spans="1:11" s="22" customFormat="1">
      <c r="A14" s="22">
        <v>12</v>
      </c>
      <c r="B14" s="23">
        <f t="shared" si="0"/>
        <v>16395</v>
      </c>
      <c r="C14" s="23" t="str">
        <f t="shared" si="1"/>
        <v>400B</v>
      </c>
      <c r="F14" s="22" t="s">
        <v>749</v>
      </c>
      <c r="G14" s="24" t="s">
        <v>114</v>
      </c>
      <c r="I14" s="24"/>
    </row>
    <row r="15" spans="1:11" s="22" customFormat="1">
      <c r="A15" s="22">
        <v>13</v>
      </c>
      <c r="B15" s="23">
        <f t="shared" si="0"/>
        <v>16396</v>
      </c>
      <c r="C15" s="23" t="str">
        <f t="shared" si="1"/>
        <v>400C</v>
      </c>
      <c r="F15" s="22" t="s">
        <v>749</v>
      </c>
      <c r="G15" s="24" t="s">
        <v>114</v>
      </c>
      <c r="I15" s="25"/>
    </row>
    <row r="16" spans="1:11" s="22" customFormat="1">
      <c r="A16" s="22">
        <v>14</v>
      </c>
      <c r="B16" s="23">
        <f t="shared" si="0"/>
        <v>16397</v>
      </c>
      <c r="C16" s="23" t="str">
        <f t="shared" si="1"/>
        <v>400D</v>
      </c>
      <c r="F16" s="22" t="s">
        <v>749</v>
      </c>
      <c r="G16" s="24" t="s">
        <v>114</v>
      </c>
      <c r="I16" s="25"/>
    </row>
    <row r="17" spans="1:20" s="22" customFormat="1">
      <c r="A17" s="22">
        <v>15</v>
      </c>
      <c r="B17" s="23">
        <f t="shared" si="0"/>
        <v>16398</v>
      </c>
      <c r="C17" s="23" t="str">
        <f t="shared" si="1"/>
        <v>400E</v>
      </c>
      <c r="F17" s="22" t="s">
        <v>749</v>
      </c>
      <c r="G17" s="24" t="s">
        <v>114</v>
      </c>
      <c r="I17" s="24"/>
    </row>
    <row r="18" spans="1:20">
      <c r="A18" s="22">
        <v>16</v>
      </c>
      <c r="B18" s="23">
        <f t="shared" si="0"/>
        <v>16399</v>
      </c>
      <c r="C18" s="23" t="str">
        <f t="shared" si="1"/>
        <v>400F</v>
      </c>
      <c r="E18" s="22"/>
      <c r="F18" s="22" t="s">
        <v>749</v>
      </c>
      <c r="G18" s="24" t="s">
        <v>114</v>
      </c>
      <c r="H18" s="22"/>
    </row>
    <row r="19" spans="1:20">
      <c r="A19" s="22">
        <v>17</v>
      </c>
      <c r="B19" s="23">
        <f t="shared" ref="B19:B50" si="2">$B$2+A19-1</f>
        <v>16400</v>
      </c>
      <c r="C19" s="23" t="str">
        <f t="shared" ref="C19:C50" si="3">DEC2HEX(B19,4)</f>
        <v>4010</v>
      </c>
      <c r="F19" s="22" t="s">
        <v>749</v>
      </c>
      <c r="G19" s="24" t="s">
        <v>114</v>
      </c>
    </row>
    <row r="20" spans="1:20">
      <c r="A20" s="22">
        <v>18</v>
      </c>
      <c r="B20" s="23">
        <f t="shared" si="2"/>
        <v>16401</v>
      </c>
      <c r="C20" s="23" t="str">
        <f t="shared" si="3"/>
        <v>4011</v>
      </c>
      <c r="F20" s="22" t="s">
        <v>749</v>
      </c>
      <c r="G20" s="24" t="s">
        <v>114</v>
      </c>
      <c r="P20" s="27"/>
      <c r="Q20" s="27"/>
      <c r="R20" s="27"/>
      <c r="S20" s="27"/>
      <c r="T20" s="27"/>
    </row>
    <row r="21" spans="1:20">
      <c r="A21" s="22">
        <v>19</v>
      </c>
      <c r="B21" s="23">
        <f t="shared" si="2"/>
        <v>16402</v>
      </c>
      <c r="C21" s="23" t="str">
        <f t="shared" si="3"/>
        <v>4012</v>
      </c>
      <c r="F21" s="22" t="s">
        <v>749</v>
      </c>
      <c r="G21" s="24" t="s">
        <v>114</v>
      </c>
      <c r="P21" s="7"/>
      <c r="Q21" s="6"/>
      <c r="R21" s="6"/>
      <c r="S21" s="6"/>
      <c r="T21" s="7"/>
    </row>
    <row r="22" spans="1:20">
      <c r="A22" s="22">
        <v>20</v>
      </c>
      <c r="B22" s="23">
        <f t="shared" si="2"/>
        <v>16403</v>
      </c>
      <c r="C22" s="23" t="str">
        <f t="shared" si="3"/>
        <v>4013</v>
      </c>
      <c r="F22" s="22" t="s">
        <v>749</v>
      </c>
      <c r="G22" s="24" t="s">
        <v>114</v>
      </c>
      <c r="P22" s="6"/>
      <c r="Q22" s="6"/>
      <c r="R22" s="6"/>
      <c r="S22" s="6"/>
      <c r="T22" s="13"/>
    </row>
    <row r="23" spans="1:20">
      <c r="A23" s="22">
        <v>21</v>
      </c>
      <c r="B23" s="23">
        <f t="shared" si="2"/>
        <v>16404</v>
      </c>
      <c r="C23" s="23" t="str">
        <f t="shared" si="3"/>
        <v>4014</v>
      </c>
      <c r="F23" s="22" t="s">
        <v>749</v>
      </c>
      <c r="G23" s="24" t="s">
        <v>114</v>
      </c>
      <c r="P23" s="6"/>
      <c r="Q23" s="6"/>
      <c r="R23" s="6"/>
      <c r="S23" s="6"/>
      <c r="T23" s="13"/>
    </row>
    <row r="24" spans="1:20">
      <c r="A24" s="22">
        <v>22</v>
      </c>
      <c r="B24" s="23">
        <f t="shared" si="2"/>
        <v>16405</v>
      </c>
      <c r="C24" s="23" t="str">
        <f t="shared" si="3"/>
        <v>4015</v>
      </c>
      <c r="F24" s="22" t="s">
        <v>749</v>
      </c>
      <c r="G24" s="24" t="s">
        <v>114</v>
      </c>
      <c r="P24" s="6"/>
      <c r="Q24" s="6"/>
      <c r="R24" s="6"/>
      <c r="S24" s="6"/>
      <c r="T24" s="13"/>
    </row>
    <row r="25" spans="1:20">
      <c r="A25" s="22">
        <v>23</v>
      </c>
      <c r="B25" s="23">
        <f t="shared" si="2"/>
        <v>16406</v>
      </c>
      <c r="C25" s="23" t="str">
        <f t="shared" si="3"/>
        <v>4016</v>
      </c>
      <c r="F25" s="22" t="s">
        <v>749</v>
      </c>
      <c r="G25" s="24" t="s">
        <v>114</v>
      </c>
      <c r="P25" s="6"/>
      <c r="Q25" s="6"/>
      <c r="R25" s="6"/>
      <c r="S25" s="6"/>
      <c r="T25" s="13"/>
    </row>
    <row r="26" spans="1:20">
      <c r="A26" s="22">
        <v>24</v>
      </c>
      <c r="B26" s="23">
        <f t="shared" si="2"/>
        <v>16407</v>
      </c>
      <c r="C26" s="23" t="str">
        <f t="shared" si="3"/>
        <v>4017</v>
      </c>
      <c r="F26" s="22" t="s">
        <v>749</v>
      </c>
      <c r="G26" s="24" t="s">
        <v>114</v>
      </c>
      <c r="P26" s="6"/>
      <c r="Q26" s="6"/>
      <c r="R26" s="6"/>
      <c r="S26" s="6"/>
      <c r="T26" s="13"/>
    </row>
    <row r="27" spans="1:20">
      <c r="A27" s="22">
        <v>25</v>
      </c>
      <c r="B27" s="23">
        <f t="shared" si="2"/>
        <v>16408</v>
      </c>
      <c r="C27" s="23" t="str">
        <f t="shared" si="3"/>
        <v>4018</v>
      </c>
      <c r="F27" s="22" t="s">
        <v>749</v>
      </c>
      <c r="G27" s="24" t="s">
        <v>114</v>
      </c>
      <c r="P27" s="6"/>
      <c r="Q27" s="6"/>
      <c r="R27" s="6"/>
      <c r="S27" s="6"/>
      <c r="T27" s="10"/>
    </row>
    <row r="28" spans="1:20">
      <c r="A28" s="22">
        <v>26</v>
      </c>
      <c r="B28" s="23">
        <f t="shared" si="2"/>
        <v>16409</v>
      </c>
      <c r="C28" s="23" t="str">
        <f t="shared" si="3"/>
        <v>4019</v>
      </c>
      <c r="F28" s="22" t="s">
        <v>749</v>
      </c>
      <c r="G28" s="24" t="s">
        <v>114</v>
      </c>
      <c r="P28" s="6"/>
      <c r="Q28" s="6"/>
      <c r="R28" s="6"/>
      <c r="S28" s="6"/>
      <c r="T28" s="10"/>
    </row>
    <row r="29" spans="1:20">
      <c r="A29" s="22">
        <v>27</v>
      </c>
      <c r="B29" s="23">
        <f t="shared" si="2"/>
        <v>16410</v>
      </c>
      <c r="C29" s="23" t="str">
        <f t="shared" si="3"/>
        <v>401A</v>
      </c>
      <c r="F29" s="22" t="s">
        <v>749</v>
      </c>
      <c r="G29" s="24" t="s">
        <v>114</v>
      </c>
      <c r="P29" s="6"/>
      <c r="Q29" s="6"/>
      <c r="R29" s="6"/>
      <c r="S29" s="6"/>
      <c r="T29" s="10"/>
    </row>
    <row r="30" spans="1:20">
      <c r="A30" s="22">
        <v>28</v>
      </c>
      <c r="B30" s="23">
        <f t="shared" si="2"/>
        <v>16411</v>
      </c>
      <c r="C30" s="23" t="str">
        <f t="shared" si="3"/>
        <v>401B</v>
      </c>
      <c r="F30" s="22" t="s">
        <v>749</v>
      </c>
      <c r="G30" s="24" t="s">
        <v>114</v>
      </c>
      <c r="P30" s="6"/>
      <c r="Q30" s="6"/>
      <c r="R30" s="6"/>
      <c r="S30" s="6"/>
      <c r="T30" s="10"/>
    </row>
    <row r="31" spans="1:20">
      <c r="A31" s="22">
        <v>29</v>
      </c>
      <c r="B31" s="23">
        <f t="shared" si="2"/>
        <v>16412</v>
      </c>
      <c r="C31" s="23" t="str">
        <f t="shared" si="3"/>
        <v>401C</v>
      </c>
      <c r="F31" s="22" t="s">
        <v>749</v>
      </c>
      <c r="G31" s="24" t="s">
        <v>114</v>
      </c>
      <c r="P31" s="6"/>
      <c r="Q31" s="7"/>
      <c r="R31" s="6"/>
      <c r="S31" s="6"/>
      <c r="T31" s="13"/>
    </row>
    <row r="32" spans="1:20">
      <c r="A32" s="22">
        <v>30</v>
      </c>
      <c r="B32" s="23">
        <f t="shared" si="2"/>
        <v>16413</v>
      </c>
      <c r="C32" s="23" t="str">
        <f t="shared" si="3"/>
        <v>401D</v>
      </c>
      <c r="F32" s="22" t="s">
        <v>749</v>
      </c>
      <c r="G32" s="24" t="s">
        <v>114</v>
      </c>
      <c r="P32" s="6"/>
      <c r="Q32" s="7"/>
      <c r="R32" s="6"/>
      <c r="S32" s="6"/>
      <c r="T32" s="10"/>
    </row>
    <row r="33" spans="1:20">
      <c r="A33" s="22">
        <v>31</v>
      </c>
      <c r="B33" s="23">
        <f t="shared" si="2"/>
        <v>16414</v>
      </c>
      <c r="C33" s="23" t="str">
        <f t="shared" si="3"/>
        <v>401E</v>
      </c>
      <c r="F33" s="22" t="s">
        <v>749</v>
      </c>
      <c r="G33" s="24" t="s">
        <v>114</v>
      </c>
      <c r="P33" s="6"/>
      <c r="Q33" s="7"/>
      <c r="R33" s="6"/>
      <c r="S33" s="6"/>
      <c r="T33" s="10"/>
    </row>
    <row r="34" spans="1:20">
      <c r="A34" s="22">
        <v>32</v>
      </c>
      <c r="B34" s="23">
        <f t="shared" si="2"/>
        <v>16415</v>
      </c>
      <c r="C34" s="23" t="str">
        <f t="shared" si="3"/>
        <v>401F</v>
      </c>
      <c r="F34" s="22" t="s">
        <v>749</v>
      </c>
      <c r="G34" s="24" t="s">
        <v>114</v>
      </c>
      <c r="P34" s="6"/>
      <c r="Q34" s="7"/>
      <c r="R34" s="6"/>
      <c r="S34" s="6"/>
      <c r="T34" s="10"/>
    </row>
    <row r="35" spans="1:20">
      <c r="A35" s="22">
        <v>33</v>
      </c>
      <c r="B35" s="23">
        <f t="shared" si="2"/>
        <v>16416</v>
      </c>
      <c r="C35" s="23" t="str">
        <f t="shared" si="3"/>
        <v>4020</v>
      </c>
      <c r="F35" s="22" t="s">
        <v>749</v>
      </c>
      <c r="G35" s="24" t="s">
        <v>114</v>
      </c>
      <c r="P35" s="6"/>
      <c r="Q35" s="7"/>
      <c r="R35" s="6"/>
      <c r="S35" s="6"/>
      <c r="T35" s="10"/>
    </row>
    <row r="36" spans="1:20">
      <c r="A36" s="22">
        <v>34</v>
      </c>
      <c r="B36" s="23">
        <f t="shared" si="2"/>
        <v>16417</v>
      </c>
      <c r="C36" s="23" t="str">
        <f t="shared" si="3"/>
        <v>4021</v>
      </c>
      <c r="F36" s="22" t="s">
        <v>749</v>
      </c>
      <c r="G36" s="24" t="s">
        <v>114</v>
      </c>
      <c r="P36" s="6"/>
      <c r="Q36" s="7"/>
      <c r="R36" s="6"/>
      <c r="S36" s="6"/>
      <c r="T36" s="10"/>
    </row>
    <row r="37" spans="1:20">
      <c r="A37" s="22">
        <v>35</v>
      </c>
      <c r="B37" s="23">
        <f t="shared" si="2"/>
        <v>16418</v>
      </c>
      <c r="C37" s="23" t="str">
        <f t="shared" si="3"/>
        <v>4022</v>
      </c>
      <c r="F37" s="22" t="s">
        <v>749</v>
      </c>
      <c r="G37" s="24" t="s">
        <v>114</v>
      </c>
      <c r="P37" s="6"/>
      <c r="Q37" s="7"/>
      <c r="R37" s="6"/>
      <c r="S37" s="6"/>
      <c r="T37" s="10"/>
    </row>
    <row r="38" spans="1:20">
      <c r="A38" s="22">
        <v>36</v>
      </c>
      <c r="B38" s="23">
        <f t="shared" si="2"/>
        <v>16419</v>
      </c>
      <c r="C38" s="23" t="str">
        <f t="shared" si="3"/>
        <v>4023</v>
      </c>
      <c r="F38" s="22" t="s">
        <v>749</v>
      </c>
      <c r="G38" s="24" t="s">
        <v>114</v>
      </c>
      <c r="P38" s="6"/>
      <c r="Q38" s="7"/>
      <c r="R38" s="6"/>
      <c r="S38" s="7"/>
      <c r="T38" s="11"/>
    </row>
    <row r="39" spans="1:20">
      <c r="A39" s="22">
        <v>37</v>
      </c>
      <c r="B39" s="23">
        <f t="shared" si="2"/>
        <v>16420</v>
      </c>
      <c r="C39" s="23" t="str">
        <f t="shared" si="3"/>
        <v>4024</v>
      </c>
      <c r="F39" s="22" t="s">
        <v>749</v>
      </c>
      <c r="G39" s="24" t="s">
        <v>114</v>
      </c>
      <c r="P39" s="6"/>
      <c r="Q39" s="7"/>
      <c r="R39" s="6"/>
      <c r="S39" s="7"/>
      <c r="T39" s="15"/>
    </row>
    <row r="40" spans="1:20">
      <c r="A40" s="22">
        <v>38</v>
      </c>
      <c r="B40" s="23">
        <f t="shared" si="2"/>
        <v>16421</v>
      </c>
      <c r="C40" s="23" t="str">
        <f t="shared" si="3"/>
        <v>4025</v>
      </c>
      <c r="F40" s="22" t="s">
        <v>749</v>
      </c>
      <c r="G40" s="24" t="s">
        <v>114</v>
      </c>
      <c r="P40" s="6"/>
      <c r="Q40" s="7"/>
      <c r="R40" s="6"/>
      <c r="S40" s="7"/>
      <c r="T40" s="11"/>
    </row>
    <row r="41" spans="1:20">
      <c r="A41" s="22">
        <v>39</v>
      </c>
      <c r="B41" s="23">
        <f t="shared" si="2"/>
        <v>16422</v>
      </c>
      <c r="C41" s="23" t="str">
        <f t="shared" si="3"/>
        <v>4026</v>
      </c>
      <c r="F41" s="22" t="s">
        <v>749</v>
      </c>
      <c r="G41" s="24" t="s">
        <v>114</v>
      </c>
      <c r="P41" s="6"/>
      <c r="Q41" s="7"/>
      <c r="R41" s="6"/>
      <c r="S41" s="6"/>
      <c r="T41" s="11"/>
    </row>
    <row r="42" spans="1:20">
      <c r="A42" s="22">
        <v>40</v>
      </c>
      <c r="B42" s="23">
        <f t="shared" si="2"/>
        <v>16423</v>
      </c>
      <c r="C42" s="23" t="str">
        <f t="shared" si="3"/>
        <v>4027</v>
      </c>
      <c r="F42" s="22" t="s">
        <v>749</v>
      </c>
      <c r="G42" s="24" t="s">
        <v>114</v>
      </c>
      <c r="P42" s="6"/>
      <c r="Q42" s="7"/>
      <c r="R42" s="6"/>
      <c r="S42" s="7"/>
      <c r="T42" s="11"/>
    </row>
    <row r="43" spans="1:20">
      <c r="A43" s="22">
        <v>41</v>
      </c>
      <c r="B43" s="23">
        <f t="shared" si="2"/>
        <v>16424</v>
      </c>
      <c r="C43" s="23" t="str">
        <f t="shared" si="3"/>
        <v>4028</v>
      </c>
      <c r="F43" s="22" t="s">
        <v>749</v>
      </c>
      <c r="G43" s="24" t="s">
        <v>114</v>
      </c>
      <c r="P43" s="6"/>
      <c r="Q43" s="7"/>
      <c r="R43" s="6"/>
      <c r="S43" s="7"/>
      <c r="T43" s="11"/>
    </row>
    <row r="44" spans="1:20">
      <c r="A44" s="22">
        <v>42</v>
      </c>
      <c r="B44" s="23">
        <f t="shared" si="2"/>
        <v>16425</v>
      </c>
      <c r="C44" s="23" t="str">
        <f t="shared" si="3"/>
        <v>4029</v>
      </c>
      <c r="F44" s="22" t="s">
        <v>749</v>
      </c>
      <c r="G44" s="24" t="s">
        <v>114</v>
      </c>
      <c r="P44" s="6"/>
      <c r="Q44" s="7"/>
      <c r="R44" s="6"/>
      <c r="S44" s="7"/>
      <c r="T44" s="11"/>
    </row>
    <row r="45" spans="1:20">
      <c r="A45" s="22">
        <v>43</v>
      </c>
      <c r="B45" s="23">
        <f t="shared" si="2"/>
        <v>16426</v>
      </c>
      <c r="C45" s="23" t="str">
        <f t="shared" si="3"/>
        <v>402A</v>
      </c>
      <c r="F45" s="22" t="s">
        <v>749</v>
      </c>
      <c r="G45" s="24" t="s">
        <v>114</v>
      </c>
      <c r="P45" s="6"/>
      <c r="Q45" s="7"/>
      <c r="R45" s="6"/>
      <c r="S45" s="7"/>
      <c r="T45" s="15"/>
    </row>
    <row r="46" spans="1:20">
      <c r="A46" s="22">
        <v>44</v>
      </c>
      <c r="B46" s="23">
        <f t="shared" si="2"/>
        <v>16427</v>
      </c>
      <c r="C46" s="23" t="str">
        <f t="shared" si="3"/>
        <v>402B</v>
      </c>
      <c r="F46" s="22" t="s">
        <v>749</v>
      </c>
      <c r="G46" s="24" t="s">
        <v>114</v>
      </c>
      <c r="P46" s="6"/>
      <c r="Q46" s="7"/>
      <c r="R46" s="6"/>
      <c r="S46" s="6"/>
      <c r="T46" s="11"/>
    </row>
    <row r="47" spans="1:20">
      <c r="A47" s="22">
        <v>45</v>
      </c>
      <c r="B47" s="23">
        <f t="shared" si="2"/>
        <v>16428</v>
      </c>
      <c r="C47" s="23" t="str">
        <f t="shared" si="3"/>
        <v>402C</v>
      </c>
      <c r="F47" s="22" t="s">
        <v>749</v>
      </c>
      <c r="G47" s="24" t="s">
        <v>114</v>
      </c>
      <c r="P47" s="6"/>
      <c r="Q47" s="7"/>
      <c r="R47" s="6"/>
      <c r="S47" s="7"/>
      <c r="T47" s="11"/>
    </row>
    <row r="48" spans="1:20">
      <c r="A48" s="22">
        <v>46</v>
      </c>
      <c r="B48" s="23">
        <f t="shared" si="2"/>
        <v>16429</v>
      </c>
      <c r="C48" s="23" t="str">
        <f t="shared" si="3"/>
        <v>402D</v>
      </c>
      <c r="F48" s="22" t="s">
        <v>749</v>
      </c>
      <c r="G48" s="24" t="s">
        <v>114</v>
      </c>
      <c r="P48" s="6"/>
      <c r="Q48" s="7"/>
      <c r="R48" s="6"/>
      <c r="S48" s="7"/>
      <c r="T48" s="11"/>
    </row>
    <row r="49" spans="1:20">
      <c r="A49" s="22">
        <v>47</v>
      </c>
      <c r="B49" s="23">
        <f t="shared" si="2"/>
        <v>16430</v>
      </c>
      <c r="C49" s="23" t="str">
        <f t="shared" si="3"/>
        <v>402E</v>
      </c>
      <c r="F49" s="22" t="s">
        <v>749</v>
      </c>
      <c r="G49" s="24" t="s">
        <v>114</v>
      </c>
      <c r="P49" s="6"/>
      <c r="Q49" s="7"/>
      <c r="R49" s="6"/>
      <c r="S49" s="7"/>
      <c r="T49" s="11"/>
    </row>
    <row r="50" spans="1:20">
      <c r="A50" s="22">
        <v>48</v>
      </c>
      <c r="B50" s="23">
        <f t="shared" si="2"/>
        <v>16431</v>
      </c>
      <c r="C50" s="23" t="str">
        <f t="shared" si="3"/>
        <v>402F</v>
      </c>
      <c r="F50" s="22" t="s">
        <v>749</v>
      </c>
      <c r="G50" s="24" t="s">
        <v>114</v>
      </c>
      <c r="P50" s="6"/>
      <c r="Q50" s="7"/>
      <c r="R50" s="6"/>
      <c r="S50" s="7"/>
      <c r="T50" s="11"/>
    </row>
    <row r="51" spans="1:20">
      <c r="A51" s="22">
        <v>49</v>
      </c>
      <c r="B51" s="23">
        <f t="shared" ref="B51:B82" si="4">$B$2+A51-1</f>
        <v>16432</v>
      </c>
      <c r="C51" s="23" t="str">
        <f t="shared" ref="C51:C82" si="5">DEC2HEX(B51,4)</f>
        <v>4030</v>
      </c>
      <c r="F51" s="22" t="s">
        <v>749</v>
      </c>
      <c r="G51" s="24" t="s">
        <v>114</v>
      </c>
      <c r="P51" s="7"/>
      <c r="Q51" s="7"/>
      <c r="R51" s="7"/>
      <c r="S51" s="16"/>
      <c r="T51" s="16"/>
    </row>
    <row r="52" spans="1:20">
      <c r="A52" s="22">
        <v>50</v>
      </c>
      <c r="B52" s="23">
        <f t="shared" si="4"/>
        <v>16433</v>
      </c>
      <c r="C52" s="23" t="str">
        <f t="shared" si="5"/>
        <v>4031</v>
      </c>
      <c r="F52" s="22" t="s">
        <v>749</v>
      </c>
      <c r="G52" s="24" t="s">
        <v>114</v>
      </c>
      <c r="P52" s="7"/>
      <c r="Q52" s="7"/>
      <c r="R52" s="7"/>
      <c r="S52" s="16"/>
      <c r="T52" s="16"/>
    </row>
    <row r="53" spans="1:20">
      <c r="A53" s="22">
        <v>51</v>
      </c>
      <c r="B53" s="23">
        <f t="shared" si="4"/>
        <v>16434</v>
      </c>
      <c r="C53" s="23" t="str">
        <f t="shared" si="5"/>
        <v>4032</v>
      </c>
      <c r="F53" s="22" t="s">
        <v>749</v>
      </c>
      <c r="G53" s="24" t="s">
        <v>114</v>
      </c>
      <c r="P53" s="7"/>
      <c r="Q53" s="7"/>
      <c r="R53" s="7"/>
      <c r="S53" s="16"/>
      <c r="T53" s="16"/>
    </row>
    <row r="54" spans="1:20">
      <c r="A54" s="22">
        <v>52</v>
      </c>
      <c r="B54" s="23">
        <f t="shared" si="4"/>
        <v>16435</v>
      </c>
      <c r="C54" s="23" t="str">
        <f t="shared" si="5"/>
        <v>4033</v>
      </c>
      <c r="F54" s="22" t="s">
        <v>749</v>
      </c>
      <c r="G54" s="24" t="s">
        <v>114</v>
      </c>
      <c r="H54" s="22"/>
      <c r="P54" s="7"/>
      <c r="Q54" s="7"/>
      <c r="R54" s="7"/>
      <c r="S54" s="16"/>
      <c r="T54" s="16"/>
    </row>
    <row r="55" spans="1:20">
      <c r="A55" s="22">
        <v>53</v>
      </c>
      <c r="B55" s="23">
        <f t="shared" si="4"/>
        <v>16436</v>
      </c>
      <c r="C55" s="23" t="str">
        <f t="shared" si="5"/>
        <v>4034</v>
      </c>
      <c r="F55" s="22" t="s">
        <v>749</v>
      </c>
      <c r="G55" s="24" t="s">
        <v>114</v>
      </c>
      <c r="H55" s="22"/>
      <c r="P55" s="7"/>
      <c r="Q55" s="7"/>
      <c r="R55" s="7"/>
      <c r="S55" s="16"/>
      <c r="T55" s="16"/>
    </row>
    <row r="56" spans="1:20">
      <c r="A56" s="22">
        <v>54</v>
      </c>
      <c r="B56" s="23">
        <f t="shared" si="4"/>
        <v>16437</v>
      </c>
      <c r="C56" s="23" t="str">
        <f t="shared" si="5"/>
        <v>4035</v>
      </c>
      <c r="F56" s="22" t="s">
        <v>749</v>
      </c>
      <c r="G56" s="24" t="s">
        <v>114</v>
      </c>
      <c r="H56" s="22"/>
      <c r="P56" s="27"/>
      <c r="Q56" s="27"/>
      <c r="R56" s="27"/>
      <c r="S56" s="27"/>
      <c r="T56" s="27"/>
    </row>
    <row r="57" spans="1:20">
      <c r="A57" s="22">
        <v>55</v>
      </c>
      <c r="B57" s="23">
        <f t="shared" si="4"/>
        <v>16438</v>
      </c>
      <c r="C57" s="23" t="str">
        <f t="shared" si="5"/>
        <v>4036</v>
      </c>
      <c r="F57" s="22" t="s">
        <v>749</v>
      </c>
      <c r="G57" s="24" t="s">
        <v>114</v>
      </c>
      <c r="H57" s="22"/>
      <c r="P57" s="7"/>
      <c r="Q57" s="6"/>
      <c r="R57" s="6"/>
      <c r="S57" s="6"/>
      <c r="T57" s="7"/>
    </row>
    <row r="58" spans="1:20">
      <c r="A58" s="22">
        <v>56</v>
      </c>
      <c r="B58" s="23">
        <f t="shared" si="4"/>
        <v>16439</v>
      </c>
      <c r="C58" s="23" t="str">
        <f t="shared" si="5"/>
        <v>4037</v>
      </c>
      <c r="F58" s="22" t="s">
        <v>749</v>
      </c>
      <c r="G58" s="24" t="s">
        <v>114</v>
      </c>
      <c r="H58" s="22"/>
      <c r="P58" s="7"/>
      <c r="Q58" s="7"/>
      <c r="R58" s="7"/>
      <c r="S58" s="16"/>
      <c r="T58" s="17"/>
    </row>
    <row r="59" spans="1:20">
      <c r="A59" s="22">
        <v>57</v>
      </c>
      <c r="B59" s="23">
        <f t="shared" si="4"/>
        <v>16440</v>
      </c>
      <c r="C59" s="23" t="str">
        <f t="shared" si="5"/>
        <v>4038</v>
      </c>
      <c r="F59" s="22" t="s">
        <v>749</v>
      </c>
      <c r="G59" s="24" t="s">
        <v>114</v>
      </c>
      <c r="H59" s="22"/>
      <c r="P59" s="7"/>
      <c r="Q59" s="7"/>
      <c r="R59" s="7"/>
      <c r="S59" s="16"/>
      <c r="T59" s="17"/>
    </row>
    <row r="60" spans="1:20">
      <c r="A60" s="22">
        <v>58</v>
      </c>
      <c r="B60" s="23">
        <f t="shared" si="4"/>
        <v>16441</v>
      </c>
      <c r="C60" s="23" t="str">
        <f t="shared" si="5"/>
        <v>4039</v>
      </c>
      <c r="F60" s="22" t="s">
        <v>749</v>
      </c>
      <c r="G60" s="24" t="s">
        <v>114</v>
      </c>
      <c r="H60" s="22"/>
      <c r="P60" s="7"/>
      <c r="Q60" s="7"/>
      <c r="R60" s="7"/>
      <c r="S60" s="16"/>
      <c r="T60" s="17"/>
    </row>
    <row r="61" spans="1:20">
      <c r="A61" s="22">
        <v>59</v>
      </c>
      <c r="B61" s="23">
        <f t="shared" si="4"/>
        <v>16442</v>
      </c>
      <c r="C61" s="23" t="str">
        <f t="shared" si="5"/>
        <v>403A</v>
      </c>
      <c r="F61" s="22" t="s">
        <v>749</v>
      </c>
      <c r="G61" s="24" t="s">
        <v>114</v>
      </c>
      <c r="H61" s="22"/>
      <c r="P61" s="7"/>
      <c r="Q61" s="7"/>
      <c r="R61" s="7"/>
      <c r="S61" s="16"/>
      <c r="T61" s="17"/>
    </row>
    <row r="62" spans="1:20">
      <c r="A62" s="22">
        <v>60</v>
      </c>
      <c r="B62" s="23">
        <f t="shared" si="4"/>
        <v>16443</v>
      </c>
      <c r="C62" s="23" t="str">
        <f t="shared" si="5"/>
        <v>403B</v>
      </c>
      <c r="F62" s="22" t="s">
        <v>749</v>
      </c>
      <c r="G62" s="24" t="s">
        <v>114</v>
      </c>
      <c r="H62" s="22"/>
      <c r="P62" s="7"/>
      <c r="Q62" s="7"/>
      <c r="R62" s="7"/>
      <c r="S62" s="16"/>
      <c r="T62" s="17"/>
    </row>
    <row r="63" spans="1:20">
      <c r="A63" s="22">
        <v>61</v>
      </c>
      <c r="B63" s="23">
        <f t="shared" si="4"/>
        <v>16444</v>
      </c>
      <c r="C63" s="23" t="str">
        <f t="shared" si="5"/>
        <v>403C</v>
      </c>
      <c r="F63" s="22" t="s">
        <v>749</v>
      </c>
      <c r="G63" s="24" t="s">
        <v>114</v>
      </c>
      <c r="H63" s="22"/>
      <c r="P63" s="7"/>
      <c r="Q63" s="7"/>
      <c r="R63" s="7"/>
      <c r="S63" s="16"/>
      <c r="T63" s="17"/>
    </row>
    <row r="64" spans="1:20">
      <c r="A64" s="22">
        <v>62</v>
      </c>
      <c r="B64" s="23">
        <f t="shared" si="4"/>
        <v>16445</v>
      </c>
      <c r="C64" s="23" t="str">
        <f t="shared" si="5"/>
        <v>403D</v>
      </c>
      <c r="F64" s="22" t="s">
        <v>749</v>
      </c>
      <c r="G64" s="24" t="s">
        <v>114</v>
      </c>
      <c r="H64" s="22"/>
      <c r="P64" s="7"/>
      <c r="Q64" s="7"/>
      <c r="R64" s="7"/>
      <c r="S64" s="16"/>
      <c r="T64" s="17"/>
    </row>
    <row r="65" spans="1:20">
      <c r="A65" s="22">
        <v>63</v>
      </c>
      <c r="B65" s="23">
        <f t="shared" si="4"/>
        <v>16446</v>
      </c>
      <c r="C65" s="23" t="str">
        <f t="shared" si="5"/>
        <v>403E</v>
      </c>
      <c r="F65" s="22" t="s">
        <v>749</v>
      </c>
      <c r="G65" s="24" t="s">
        <v>114</v>
      </c>
      <c r="H65" s="22"/>
      <c r="P65" s="7"/>
      <c r="Q65" s="7"/>
      <c r="R65" s="7"/>
      <c r="S65" s="16"/>
      <c r="T65" s="17"/>
    </row>
    <row r="66" spans="1:20">
      <c r="A66" s="22">
        <v>64</v>
      </c>
      <c r="B66" s="23">
        <f t="shared" si="4"/>
        <v>16447</v>
      </c>
      <c r="C66" s="23" t="str">
        <f t="shared" si="5"/>
        <v>403F</v>
      </c>
      <c r="F66" s="22" t="s">
        <v>749</v>
      </c>
      <c r="G66" s="24" t="s">
        <v>114</v>
      </c>
      <c r="H66" s="22"/>
      <c r="P66" s="7"/>
      <c r="Q66" s="7"/>
      <c r="R66" s="7"/>
      <c r="S66" s="16"/>
      <c r="T66" s="17"/>
    </row>
    <row r="67" spans="1:20">
      <c r="A67" s="22">
        <v>65</v>
      </c>
      <c r="B67" s="23">
        <f t="shared" si="4"/>
        <v>16448</v>
      </c>
      <c r="C67" s="23" t="str">
        <f t="shared" si="5"/>
        <v>4040</v>
      </c>
      <c r="F67" s="22" t="s">
        <v>749</v>
      </c>
      <c r="G67" s="24" t="s">
        <v>114</v>
      </c>
      <c r="P67" s="7"/>
      <c r="Q67" s="7"/>
      <c r="R67" s="7"/>
      <c r="S67" s="16"/>
      <c r="T67" s="17"/>
    </row>
    <row r="68" spans="1:20">
      <c r="A68" s="22">
        <v>66</v>
      </c>
      <c r="B68" s="23">
        <f t="shared" si="4"/>
        <v>16449</v>
      </c>
      <c r="C68" s="23" t="str">
        <f t="shared" si="5"/>
        <v>4041</v>
      </c>
      <c r="F68" s="22" t="s">
        <v>749</v>
      </c>
      <c r="G68" s="24" t="s">
        <v>114</v>
      </c>
      <c r="P68" s="7"/>
      <c r="Q68" s="7"/>
      <c r="R68" s="7"/>
      <c r="S68" s="16"/>
      <c r="T68" s="17"/>
    </row>
    <row r="69" spans="1:20">
      <c r="A69" s="22">
        <v>67</v>
      </c>
      <c r="B69" s="23">
        <f t="shared" si="4"/>
        <v>16450</v>
      </c>
      <c r="C69" s="23" t="str">
        <f t="shared" si="5"/>
        <v>4042</v>
      </c>
      <c r="F69" s="22" t="s">
        <v>749</v>
      </c>
      <c r="G69" s="24" t="s">
        <v>114</v>
      </c>
      <c r="P69" s="7"/>
      <c r="Q69" s="7"/>
      <c r="R69" s="7"/>
      <c r="S69" s="16"/>
      <c r="T69" s="17"/>
    </row>
    <row r="70" spans="1:20">
      <c r="A70" s="22">
        <v>68</v>
      </c>
      <c r="B70" s="23">
        <f t="shared" si="4"/>
        <v>16451</v>
      </c>
      <c r="C70" s="23" t="str">
        <f t="shared" si="5"/>
        <v>4043</v>
      </c>
      <c r="F70" s="22" t="s">
        <v>749</v>
      </c>
      <c r="G70" s="24" t="s">
        <v>114</v>
      </c>
      <c r="P70" s="7"/>
      <c r="Q70" s="7"/>
      <c r="R70" s="7"/>
      <c r="S70" s="16"/>
      <c r="T70" s="17"/>
    </row>
    <row r="71" spans="1:20">
      <c r="A71" s="22">
        <v>69</v>
      </c>
      <c r="B71" s="23">
        <f t="shared" si="4"/>
        <v>16452</v>
      </c>
      <c r="C71" s="23" t="str">
        <f t="shared" si="5"/>
        <v>4044</v>
      </c>
      <c r="F71" s="22" t="s">
        <v>749</v>
      </c>
      <c r="G71" s="24" t="s">
        <v>114</v>
      </c>
      <c r="P71" s="7"/>
      <c r="Q71" s="7"/>
      <c r="R71" s="7"/>
      <c r="S71" s="16"/>
      <c r="T71" s="17"/>
    </row>
    <row r="72" spans="1:20">
      <c r="A72" s="22">
        <v>70</v>
      </c>
      <c r="B72" s="23">
        <f t="shared" si="4"/>
        <v>16453</v>
      </c>
      <c r="C72" s="23" t="str">
        <f t="shared" si="5"/>
        <v>4045</v>
      </c>
      <c r="F72" s="22" t="s">
        <v>749</v>
      </c>
      <c r="G72" s="24" t="s">
        <v>114</v>
      </c>
      <c r="P72" s="7"/>
      <c r="Q72" s="7"/>
      <c r="R72" s="7"/>
      <c r="S72" s="16"/>
      <c r="T72" s="17"/>
    </row>
    <row r="73" spans="1:20">
      <c r="A73" s="22">
        <v>71</v>
      </c>
      <c r="B73" s="23">
        <f t="shared" si="4"/>
        <v>16454</v>
      </c>
      <c r="C73" s="23" t="str">
        <f t="shared" si="5"/>
        <v>4046</v>
      </c>
      <c r="F73" s="22" t="s">
        <v>749</v>
      </c>
      <c r="G73" s="24" t="s">
        <v>114</v>
      </c>
      <c r="P73" s="7"/>
      <c r="Q73" s="7"/>
      <c r="R73" s="7"/>
      <c r="S73" s="16"/>
      <c r="T73" s="17"/>
    </row>
    <row r="74" spans="1:20">
      <c r="A74" s="22">
        <v>72</v>
      </c>
      <c r="B74" s="23">
        <f t="shared" si="4"/>
        <v>16455</v>
      </c>
      <c r="C74" s="23" t="str">
        <f t="shared" si="5"/>
        <v>4047</v>
      </c>
      <c r="F74" s="22" t="s">
        <v>749</v>
      </c>
      <c r="G74" s="24" t="s">
        <v>114</v>
      </c>
      <c r="P74" s="7"/>
      <c r="Q74" s="7"/>
      <c r="R74" s="7"/>
      <c r="S74" s="16"/>
      <c r="T74" s="17"/>
    </row>
    <row r="75" spans="1:20">
      <c r="A75" s="22">
        <v>73</v>
      </c>
      <c r="B75" s="23">
        <f t="shared" si="4"/>
        <v>16456</v>
      </c>
      <c r="C75" s="23" t="str">
        <f t="shared" si="5"/>
        <v>4048</v>
      </c>
      <c r="F75" s="22" t="s">
        <v>749</v>
      </c>
      <c r="G75" s="24" t="s">
        <v>114</v>
      </c>
      <c r="P75" s="7"/>
      <c r="Q75" s="7"/>
      <c r="R75" s="7"/>
      <c r="S75" s="16"/>
      <c r="T75" s="17"/>
    </row>
    <row r="76" spans="1:20">
      <c r="A76" s="22">
        <v>74</v>
      </c>
      <c r="B76" s="23">
        <f t="shared" si="4"/>
        <v>16457</v>
      </c>
      <c r="C76" s="23" t="str">
        <f t="shared" si="5"/>
        <v>4049</v>
      </c>
      <c r="F76" s="22" t="s">
        <v>749</v>
      </c>
      <c r="G76" s="24" t="s">
        <v>114</v>
      </c>
      <c r="P76" s="7"/>
      <c r="Q76" s="7"/>
      <c r="R76" s="7"/>
      <c r="S76" s="16"/>
      <c r="T76" s="17"/>
    </row>
    <row r="77" spans="1:20">
      <c r="A77" s="22">
        <v>75</v>
      </c>
      <c r="B77" s="23">
        <f t="shared" si="4"/>
        <v>16458</v>
      </c>
      <c r="C77" s="23" t="str">
        <f t="shared" si="5"/>
        <v>404A</v>
      </c>
      <c r="F77" s="22" t="s">
        <v>749</v>
      </c>
      <c r="G77" s="24" t="s">
        <v>114</v>
      </c>
      <c r="P77" s="7"/>
      <c r="Q77" s="7"/>
      <c r="R77" s="7"/>
      <c r="S77" s="16"/>
      <c r="T77" s="17"/>
    </row>
    <row r="78" spans="1:20">
      <c r="A78" s="22">
        <v>76</v>
      </c>
      <c r="B78" s="23">
        <f t="shared" si="4"/>
        <v>16459</v>
      </c>
      <c r="C78" s="23" t="str">
        <f t="shared" si="5"/>
        <v>404B</v>
      </c>
      <c r="F78" s="22" t="s">
        <v>749</v>
      </c>
      <c r="G78" s="24" t="s">
        <v>114</v>
      </c>
      <c r="P78" s="7"/>
      <c r="Q78" s="7"/>
      <c r="R78" s="7"/>
      <c r="S78" s="16"/>
      <c r="T78" s="17"/>
    </row>
    <row r="79" spans="1:20">
      <c r="A79" s="22">
        <v>77</v>
      </c>
      <c r="B79" s="23">
        <f t="shared" si="4"/>
        <v>16460</v>
      </c>
      <c r="C79" s="23" t="str">
        <f t="shared" si="5"/>
        <v>404C</v>
      </c>
      <c r="F79" s="22" t="s">
        <v>749</v>
      </c>
      <c r="G79" s="24" t="s">
        <v>114</v>
      </c>
      <c r="P79" s="7"/>
      <c r="Q79" s="7"/>
      <c r="R79" s="7"/>
      <c r="S79" s="16"/>
      <c r="T79" s="17"/>
    </row>
    <row r="80" spans="1:20">
      <c r="A80" s="22">
        <v>78</v>
      </c>
      <c r="B80" s="23">
        <f t="shared" si="4"/>
        <v>16461</v>
      </c>
      <c r="C80" s="23" t="str">
        <f t="shared" si="5"/>
        <v>404D</v>
      </c>
      <c r="F80" s="22" t="s">
        <v>749</v>
      </c>
      <c r="G80" s="24" t="s">
        <v>114</v>
      </c>
      <c r="P80" s="7"/>
      <c r="Q80" s="7"/>
      <c r="R80" s="7"/>
      <c r="S80" s="16"/>
      <c r="T80" s="17"/>
    </row>
    <row r="81" spans="1:20">
      <c r="A81" s="22">
        <v>79</v>
      </c>
      <c r="B81" s="23">
        <f t="shared" si="4"/>
        <v>16462</v>
      </c>
      <c r="C81" s="23" t="str">
        <f t="shared" si="5"/>
        <v>404E</v>
      </c>
      <c r="F81" s="22" t="s">
        <v>749</v>
      </c>
      <c r="G81" s="24" t="s">
        <v>114</v>
      </c>
      <c r="P81" s="7"/>
      <c r="Q81" s="7"/>
      <c r="R81" s="7"/>
      <c r="S81" s="16"/>
      <c r="T81" s="17"/>
    </row>
    <row r="82" spans="1:20">
      <c r="A82" s="22">
        <v>80</v>
      </c>
      <c r="B82" s="23">
        <f t="shared" si="4"/>
        <v>16463</v>
      </c>
      <c r="C82" s="23" t="str">
        <f t="shared" si="5"/>
        <v>404F</v>
      </c>
      <c r="F82" s="22" t="s">
        <v>749</v>
      </c>
      <c r="G82" s="24" t="s">
        <v>114</v>
      </c>
      <c r="P82" s="7"/>
      <c r="Q82" s="7"/>
      <c r="R82" s="7"/>
      <c r="S82" s="16"/>
      <c r="T82" s="16"/>
    </row>
    <row r="83" spans="1:20">
      <c r="A83" s="22">
        <v>81</v>
      </c>
      <c r="B83" s="23">
        <f t="shared" ref="B83:B114" si="6">$B$2+A83-1</f>
        <v>16464</v>
      </c>
      <c r="C83" s="23" t="str">
        <f t="shared" ref="C83:C114" si="7">DEC2HEX(B83,4)</f>
        <v>4050</v>
      </c>
      <c r="F83" s="22" t="s">
        <v>749</v>
      </c>
      <c r="G83" s="24" t="s">
        <v>114</v>
      </c>
      <c r="P83" s="7"/>
      <c r="Q83" s="7"/>
      <c r="R83" s="7"/>
      <c r="S83" s="16"/>
      <c r="T83" s="16"/>
    </row>
    <row r="84" spans="1:20">
      <c r="A84" s="22">
        <v>82</v>
      </c>
      <c r="B84" s="23">
        <f t="shared" si="6"/>
        <v>16465</v>
      </c>
      <c r="C84" s="23" t="str">
        <f t="shared" si="7"/>
        <v>4051</v>
      </c>
      <c r="F84" s="22" t="s">
        <v>749</v>
      </c>
      <c r="G84" s="24" t="s">
        <v>114</v>
      </c>
      <c r="P84" s="7"/>
      <c r="Q84" s="7"/>
      <c r="R84" s="7"/>
      <c r="S84" s="16"/>
      <c r="T84" s="16"/>
    </row>
    <row r="85" spans="1:20">
      <c r="A85" s="22">
        <v>83</v>
      </c>
      <c r="B85" s="23">
        <f t="shared" si="6"/>
        <v>16466</v>
      </c>
      <c r="C85" s="23" t="str">
        <f t="shared" si="7"/>
        <v>4052</v>
      </c>
      <c r="F85" s="22" t="s">
        <v>749</v>
      </c>
      <c r="G85" s="24" t="s">
        <v>114</v>
      </c>
      <c r="P85" s="7"/>
      <c r="Q85" s="7"/>
      <c r="R85" s="7"/>
      <c r="S85" s="16"/>
      <c r="T85" s="16"/>
    </row>
    <row r="86" spans="1:20">
      <c r="A86" s="22">
        <v>84</v>
      </c>
      <c r="B86" s="23">
        <f t="shared" si="6"/>
        <v>16467</v>
      </c>
      <c r="C86" s="23" t="str">
        <f t="shared" si="7"/>
        <v>4053</v>
      </c>
      <c r="F86" s="22" t="s">
        <v>749</v>
      </c>
      <c r="G86" s="24" t="s">
        <v>114</v>
      </c>
      <c r="P86" s="7"/>
      <c r="Q86" s="7"/>
      <c r="R86" s="7"/>
      <c r="S86" s="16"/>
      <c r="T86" s="16"/>
    </row>
    <row r="87" spans="1:20">
      <c r="A87" s="22">
        <v>85</v>
      </c>
      <c r="B87" s="23">
        <f t="shared" si="6"/>
        <v>16468</v>
      </c>
      <c r="C87" s="23" t="str">
        <f t="shared" si="7"/>
        <v>4054</v>
      </c>
      <c r="F87" s="22" t="s">
        <v>749</v>
      </c>
      <c r="G87" s="24" t="s">
        <v>114</v>
      </c>
      <c r="P87" s="7"/>
      <c r="Q87" s="7"/>
      <c r="R87" s="7"/>
      <c r="S87" s="16"/>
      <c r="T87" s="16"/>
    </row>
    <row r="88" spans="1:20">
      <c r="A88" s="22">
        <v>86</v>
      </c>
      <c r="B88" s="23">
        <f t="shared" si="6"/>
        <v>16469</v>
      </c>
      <c r="C88" s="23" t="str">
        <f t="shared" si="7"/>
        <v>4055</v>
      </c>
      <c r="F88" s="22" t="s">
        <v>749</v>
      </c>
      <c r="G88" s="24" t="s">
        <v>114</v>
      </c>
      <c r="P88" s="7"/>
      <c r="Q88" s="7"/>
      <c r="R88" s="7"/>
      <c r="S88" s="16"/>
      <c r="T88" s="16"/>
    </row>
    <row r="89" spans="1:20">
      <c r="A89" s="22">
        <v>87</v>
      </c>
      <c r="B89" s="23">
        <f t="shared" si="6"/>
        <v>16470</v>
      </c>
      <c r="C89" s="23" t="str">
        <f t="shared" si="7"/>
        <v>4056</v>
      </c>
      <c r="F89" s="22" t="s">
        <v>749</v>
      </c>
      <c r="G89" s="24" t="s">
        <v>114</v>
      </c>
      <c r="P89" s="7"/>
      <c r="Q89" s="7"/>
      <c r="R89" s="7"/>
      <c r="S89" s="16"/>
      <c r="T89" s="16"/>
    </row>
    <row r="90" spans="1:20">
      <c r="A90" s="22">
        <v>88</v>
      </c>
      <c r="B90" s="23">
        <f t="shared" si="6"/>
        <v>16471</v>
      </c>
      <c r="C90" s="23" t="str">
        <f t="shared" si="7"/>
        <v>4057</v>
      </c>
      <c r="F90" s="22" t="s">
        <v>749</v>
      </c>
      <c r="G90" s="24" t="s">
        <v>114</v>
      </c>
      <c r="P90" s="7"/>
      <c r="Q90" s="7"/>
      <c r="R90" s="7"/>
      <c r="S90" s="16"/>
      <c r="T90" s="16"/>
    </row>
    <row r="91" spans="1:20">
      <c r="A91" s="22">
        <v>89</v>
      </c>
      <c r="B91" s="23">
        <f t="shared" si="6"/>
        <v>16472</v>
      </c>
      <c r="C91" s="23" t="str">
        <f t="shared" si="7"/>
        <v>4058</v>
      </c>
      <c r="F91" s="22" t="s">
        <v>749</v>
      </c>
      <c r="G91" s="24" t="s">
        <v>114</v>
      </c>
      <c r="P91" s="7"/>
      <c r="Q91" s="7"/>
      <c r="R91" s="7"/>
      <c r="S91" s="16"/>
      <c r="T91" s="16"/>
    </row>
    <row r="92" spans="1:20">
      <c r="A92" s="22">
        <v>90</v>
      </c>
      <c r="B92" s="23">
        <f t="shared" si="6"/>
        <v>16473</v>
      </c>
      <c r="C92" s="23" t="str">
        <f t="shared" si="7"/>
        <v>4059</v>
      </c>
      <c r="F92" s="22" t="s">
        <v>749</v>
      </c>
      <c r="G92" s="24" t="s">
        <v>114</v>
      </c>
      <c r="P92" s="7"/>
      <c r="Q92" s="7"/>
      <c r="R92" s="7"/>
      <c r="S92" s="16"/>
      <c r="T92" s="16"/>
    </row>
    <row r="93" spans="1:20">
      <c r="A93" s="22">
        <v>91</v>
      </c>
      <c r="B93" s="23">
        <f t="shared" si="6"/>
        <v>16474</v>
      </c>
      <c r="C93" s="23" t="str">
        <f t="shared" si="7"/>
        <v>405A</v>
      </c>
      <c r="F93" s="22" t="s">
        <v>749</v>
      </c>
      <c r="G93" s="24" t="s">
        <v>114</v>
      </c>
      <c r="P93" s="7"/>
      <c r="Q93" s="7"/>
      <c r="R93" s="7"/>
      <c r="S93" s="16"/>
      <c r="T93" s="16"/>
    </row>
    <row r="94" spans="1:20">
      <c r="A94" s="22">
        <v>92</v>
      </c>
      <c r="B94" s="23">
        <f t="shared" si="6"/>
        <v>16475</v>
      </c>
      <c r="C94" s="23" t="str">
        <f t="shared" si="7"/>
        <v>405B</v>
      </c>
      <c r="F94" s="22" t="s">
        <v>749</v>
      </c>
      <c r="G94" s="24" t="s">
        <v>114</v>
      </c>
    </row>
    <row r="95" spans="1:20">
      <c r="A95" s="22">
        <v>93</v>
      </c>
      <c r="B95" s="23">
        <f t="shared" si="6"/>
        <v>16476</v>
      </c>
      <c r="C95" s="23" t="str">
        <f t="shared" si="7"/>
        <v>405C</v>
      </c>
      <c r="F95" s="22" t="s">
        <v>749</v>
      </c>
      <c r="G95" s="24" t="s">
        <v>114</v>
      </c>
    </row>
    <row r="96" spans="1:20">
      <c r="A96" s="22">
        <v>94</v>
      </c>
      <c r="B96" s="23">
        <f t="shared" si="6"/>
        <v>16477</v>
      </c>
      <c r="C96" s="23" t="str">
        <f t="shared" si="7"/>
        <v>405D</v>
      </c>
      <c r="F96" s="22" t="s">
        <v>749</v>
      </c>
      <c r="G96" s="24" t="s">
        <v>114</v>
      </c>
    </row>
    <row r="97" spans="1:7">
      <c r="A97" s="22">
        <v>95</v>
      </c>
      <c r="B97" s="23">
        <f t="shared" si="6"/>
        <v>16478</v>
      </c>
      <c r="C97" s="23" t="str">
        <f t="shared" si="7"/>
        <v>405E</v>
      </c>
      <c r="F97" s="22" t="s">
        <v>749</v>
      </c>
      <c r="G97" s="24" t="s">
        <v>114</v>
      </c>
    </row>
    <row r="98" spans="1:7">
      <c r="A98" s="22">
        <v>96</v>
      </c>
      <c r="B98" s="23">
        <f t="shared" si="6"/>
        <v>16479</v>
      </c>
      <c r="C98" s="23" t="str">
        <f t="shared" si="7"/>
        <v>405F</v>
      </c>
      <c r="F98" s="22" t="s">
        <v>749</v>
      </c>
      <c r="G98" s="24" t="s">
        <v>114</v>
      </c>
    </row>
    <row r="99" spans="1:7">
      <c r="A99" s="22">
        <v>97</v>
      </c>
      <c r="B99" s="23">
        <f t="shared" si="6"/>
        <v>16480</v>
      </c>
      <c r="C99" s="23" t="str">
        <f t="shared" si="7"/>
        <v>4060</v>
      </c>
      <c r="F99" s="22" t="s">
        <v>749</v>
      </c>
      <c r="G99" s="24" t="s">
        <v>114</v>
      </c>
    </row>
    <row r="100" spans="1:7">
      <c r="A100" s="22">
        <v>98</v>
      </c>
      <c r="B100" s="23">
        <f t="shared" si="6"/>
        <v>16481</v>
      </c>
      <c r="C100" s="23" t="str">
        <f t="shared" si="7"/>
        <v>4061</v>
      </c>
      <c r="F100" s="22" t="s">
        <v>749</v>
      </c>
      <c r="G100" s="24" t="s">
        <v>114</v>
      </c>
    </row>
    <row r="101" spans="1:7">
      <c r="A101" s="22">
        <v>99</v>
      </c>
      <c r="B101" s="23">
        <f t="shared" si="6"/>
        <v>16482</v>
      </c>
      <c r="C101" s="23" t="str">
        <f t="shared" si="7"/>
        <v>4062</v>
      </c>
      <c r="F101" s="22" t="s">
        <v>749</v>
      </c>
      <c r="G101" s="24" t="s">
        <v>114</v>
      </c>
    </row>
    <row r="102" spans="1:7">
      <c r="A102" s="22">
        <v>100</v>
      </c>
      <c r="B102" s="23">
        <f t="shared" si="6"/>
        <v>16483</v>
      </c>
      <c r="C102" s="23" t="str">
        <f t="shared" si="7"/>
        <v>4063</v>
      </c>
      <c r="F102" s="22" t="s">
        <v>749</v>
      </c>
      <c r="G102" s="24" t="s">
        <v>114</v>
      </c>
    </row>
    <row r="103" spans="1:7">
      <c r="A103" s="22">
        <v>101</v>
      </c>
      <c r="B103" s="23">
        <f t="shared" si="6"/>
        <v>16484</v>
      </c>
      <c r="C103" s="23" t="str">
        <f t="shared" si="7"/>
        <v>4064</v>
      </c>
      <c r="F103" s="22" t="s">
        <v>749</v>
      </c>
      <c r="G103" s="24" t="s">
        <v>114</v>
      </c>
    </row>
    <row r="104" spans="1:7">
      <c r="A104" s="22">
        <v>102</v>
      </c>
      <c r="B104" s="23">
        <f t="shared" si="6"/>
        <v>16485</v>
      </c>
      <c r="C104" s="23" t="str">
        <f t="shared" si="7"/>
        <v>4065</v>
      </c>
      <c r="F104" s="22" t="s">
        <v>749</v>
      </c>
      <c r="G104" s="24" t="s">
        <v>114</v>
      </c>
    </row>
    <row r="105" spans="1:7">
      <c r="A105" s="22">
        <v>103</v>
      </c>
      <c r="B105" s="23">
        <f t="shared" si="6"/>
        <v>16486</v>
      </c>
      <c r="C105" s="23" t="str">
        <f t="shared" si="7"/>
        <v>4066</v>
      </c>
      <c r="F105" s="22" t="s">
        <v>749</v>
      </c>
      <c r="G105" s="24" t="s">
        <v>114</v>
      </c>
    </row>
    <row r="106" spans="1:7">
      <c r="A106" s="22">
        <v>104</v>
      </c>
      <c r="B106" s="23">
        <f t="shared" si="6"/>
        <v>16487</v>
      </c>
      <c r="C106" s="23" t="str">
        <f t="shared" si="7"/>
        <v>4067</v>
      </c>
      <c r="F106" s="22" t="s">
        <v>749</v>
      </c>
      <c r="G106" s="24" t="s">
        <v>114</v>
      </c>
    </row>
    <row r="107" spans="1:7">
      <c r="A107" s="22">
        <v>105</v>
      </c>
      <c r="B107" s="23">
        <f t="shared" si="6"/>
        <v>16488</v>
      </c>
      <c r="C107" s="23" t="str">
        <f t="shared" si="7"/>
        <v>4068</v>
      </c>
      <c r="F107" s="22" t="s">
        <v>749</v>
      </c>
      <c r="G107" s="24" t="s">
        <v>114</v>
      </c>
    </row>
    <row r="108" spans="1:7">
      <c r="A108" s="22">
        <v>106</v>
      </c>
      <c r="B108" s="23">
        <f t="shared" si="6"/>
        <v>16489</v>
      </c>
      <c r="C108" s="23" t="str">
        <f t="shared" si="7"/>
        <v>4069</v>
      </c>
      <c r="F108" s="22" t="s">
        <v>749</v>
      </c>
      <c r="G108" s="24" t="s">
        <v>114</v>
      </c>
    </row>
    <row r="109" spans="1:7">
      <c r="A109" s="22">
        <v>107</v>
      </c>
      <c r="B109" s="23">
        <f t="shared" si="6"/>
        <v>16490</v>
      </c>
      <c r="C109" s="23" t="str">
        <f t="shared" si="7"/>
        <v>406A</v>
      </c>
      <c r="F109" s="22" t="s">
        <v>749</v>
      </c>
      <c r="G109" s="24" t="s">
        <v>114</v>
      </c>
    </row>
    <row r="110" spans="1:7">
      <c r="A110" s="22">
        <v>108</v>
      </c>
      <c r="B110" s="23">
        <f t="shared" si="6"/>
        <v>16491</v>
      </c>
      <c r="C110" s="23" t="str">
        <f t="shared" si="7"/>
        <v>406B</v>
      </c>
      <c r="F110" s="22" t="s">
        <v>749</v>
      </c>
      <c r="G110" s="24" t="s">
        <v>114</v>
      </c>
    </row>
    <row r="111" spans="1:7">
      <c r="A111" s="22">
        <v>109</v>
      </c>
      <c r="B111" s="23">
        <f t="shared" si="6"/>
        <v>16492</v>
      </c>
      <c r="C111" s="23" t="str">
        <f t="shared" si="7"/>
        <v>406C</v>
      </c>
      <c r="F111" s="22" t="s">
        <v>749</v>
      </c>
      <c r="G111" s="24" t="s">
        <v>114</v>
      </c>
    </row>
    <row r="112" spans="1:7">
      <c r="A112" s="22">
        <v>110</v>
      </c>
      <c r="B112" s="23">
        <f t="shared" si="6"/>
        <v>16493</v>
      </c>
      <c r="C112" s="23" t="str">
        <f t="shared" si="7"/>
        <v>406D</v>
      </c>
      <c r="F112" s="22" t="s">
        <v>749</v>
      </c>
      <c r="G112" s="24" t="s">
        <v>114</v>
      </c>
    </row>
    <row r="113" spans="1:7">
      <c r="A113" s="22">
        <v>111</v>
      </c>
      <c r="B113" s="23">
        <f t="shared" si="6"/>
        <v>16494</v>
      </c>
      <c r="C113" s="23" t="str">
        <f t="shared" si="7"/>
        <v>406E</v>
      </c>
      <c r="F113" s="22" t="s">
        <v>749</v>
      </c>
      <c r="G113" s="24" t="s">
        <v>114</v>
      </c>
    </row>
    <row r="114" spans="1:7">
      <c r="A114" s="22">
        <v>112</v>
      </c>
      <c r="B114" s="23">
        <f t="shared" si="6"/>
        <v>16495</v>
      </c>
      <c r="C114" s="23" t="str">
        <f t="shared" si="7"/>
        <v>406F</v>
      </c>
      <c r="F114" s="22" t="s">
        <v>749</v>
      </c>
      <c r="G114" s="24" t="s">
        <v>114</v>
      </c>
    </row>
    <row r="115" spans="1:7">
      <c r="A115" s="22">
        <v>113</v>
      </c>
      <c r="B115" s="23">
        <f t="shared" ref="B115:B132" si="8">$B$2+A115-1</f>
        <v>16496</v>
      </c>
      <c r="C115" s="23" t="str">
        <f t="shared" ref="C115:C132" si="9">DEC2HEX(B115,4)</f>
        <v>4070</v>
      </c>
      <c r="F115" s="22" t="s">
        <v>749</v>
      </c>
      <c r="G115" s="24" t="s">
        <v>114</v>
      </c>
    </row>
    <row r="116" spans="1:7">
      <c r="A116" s="22">
        <v>114</v>
      </c>
      <c r="B116" s="23">
        <f t="shared" si="8"/>
        <v>16497</v>
      </c>
      <c r="C116" s="23" t="str">
        <f t="shared" si="9"/>
        <v>4071</v>
      </c>
      <c r="F116" s="22" t="s">
        <v>749</v>
      </c>
      <c r="G116" s="24" t="s">
        <v>114</v>
      </c>
    </row>
    <row r="117" spans="1:7">
      <c r="A117" s="22">
        <v>115</v>
      </c>
      <c r="B117" s="23">
        <f t="shared" si="8"/>
        <v>16498</v>
      </c>
      <c r="C117" s="23" t="str">
        <f t="shared" si="9"/>
        <v>4072</v>
      </c>
      <c r="F117" s="22" t="s">
        <v>749</v>
      </c>
      <c r="G117" s="24" t="s">
        <v>114</v>
      </c>
    </row>
    <row r="118" spans="1:7">
      <c r="A118" s="22">
        <v>116</v>
      </c>
      <c r="B118" s="23">
        <f t="shared" si="8"/>
        <v>16499</v>
      </c>
      <c r="C118" s="23" t="str">
        <f t="shared" si="9"/>
        <v>4073</v>
      </c>
      <c r="F118" s="22" t="s">
        <v>749</v>
      </c>
      <c r="G118" s="24" t="s">
        <v>114</v>
      </c>
    </row>
    <row r="119" spans="1:7">
      <c r="A119" s="22">
        <v>117</v>
      </c>
      <c r="B119" s="23">
        <f t="shared" si="8"/>
        <v>16500</v>
      </c>
      <c r="C119" s="23" t="str">
        <f t="shared" si="9"/>
        <v>4074</v>
      </c>
      <c r="F119" s="22" t="s">
        <v>749</v>
      </c>
      <c r="G119" s="24" t="s">
        <v>114</v>
      </c>
    </row>
    <row r="120" spans="1:7">
      <c r="A120" s="22">
        <v>118</v>
      </c>
      <c r="B120" s="23">
        <f t="shared" si="8"/>
        <v>16501</v>
      </c>
      <c r="C120" s="23" t="str">
        <f t="shared" si="9"/>
        <v>4075</v>
      </c>
      <c r="F120" s="22" t="s">
        <v>749</v>
      </c>
      <c r="G120" s="24" t="s">
        <v>114</v>
      </c>
    </row>
    <row r="121" spans="1:7">
      <c r="A121" s="22">
        <v>119</v>
      </c>
      <c r="B121" s="23">
        <f t="shared" si="8"/>
        <v>16502</v>
      </c>
      <c r="C121" s="23" t="str">
        <f t="shared" si="9"/>
        <v>4076</v>
      </c>
      <c r="F121" s="22" t="s">
        <v>749</v>
      </c>
      <c r="G121" s="24" t="s">
        <v>114</v>
      </c>
    </row>
    <row r="122" spans="1:7">
      <c r="A122" s="22">
        <v>120</v>
      </c>
      <c r="B122" s="23">
        <f t="shared" si="8"/>
        <v>16503</v>
      </c>
      <c r="C122" s="23" t="str">
        <f t="shared" si="9"/>
        <v>4077</v>
      </c>
      <c r="F122" s="22" t="s">
        <v>749</v>
      </c>
      <c r="G122" s="24" t="s">
        <v>114</v>
      </c>
    </row>
    <row r="123" spans="1:7">
      <c r="A123" s="22">
        <v>121</v>
      </c>
      <c r="B123" s="23">
        <f t="shared" si="8"/>
        <v>16504</v>
      </c>
      <c r="C123" s="23" t="str">
        <f t="shared" si="9"/>
        <v>4078</v>
      </c>
      <c r="F123" s="22" t="s">
        <v>749</v>
      </c>
      <c r="G123" s="24" t="s">
        <v>114</v>
      </c>
    </row>
    <row r="124" spans="1:7">
      <c r="A124" s="22">
        <v>122</v>
      </c>
      <c r="B124" s="23">
        <f t="shared" si="8"/>
        <v>16505</v>
      </c>
      <c r="C124" s="23" t="str">
        <f t="shared" si="9"/>
        <v>4079</v>
      </c>
      <c r="F124" s="22" t="s">
        <v>749</v>
      </c>
      <c r="G124" s="24" t="s">
        <v>114</v>
      </c>
    </row>
    <row r="125" spans="1:7">
      <c r="A125" s="22">
        <v>123</v>
      </c>
      <c r="B125" s="23">
        <f t="shared" si="8"/>
        <v>16506</v>
      </c>
      <c r="C125" s="23" t="str">
        <f t="shared" si="9"/>
        <v>407A</v>
      </c>
      <c r="F125" s="22" t="s">
        <v>749</v>
      </c>
      <c r="G125" s="24" t="s">
        <v>114</v>
      </c>
    </row>
    <row r="126" spans="1:7">
      <c r="A126" s="22">
        <v>124</v>
      </c>
      <c r="B126" s="23">
        <f t="shared" si="8"/>
        <v>16507</v>
      </c>
      <c r="C126" s="23" t="str">
        <f t="shared" si="9"/>
        <v>407B</v>
      </c>
      <c r="F126" s="22" t="s">
        <v>749</v>
      </c>
      <c r="G126" s="24" t="s">
        <v>114</v>
      </c>
    </row>
    <row r="127" spans="1:7">
      <c r="A127" s="22">
        <v>125</v>
      </c>
      <c r="B127" s="23">
        <f t="shared" si="8"/>
        <v>16508</v>
      </c>
      <c r="C127" s="23" t="str">
        <f t="shared" si="9"/>
        <v>407C</v>
      </c>
      <c r="F127" s="22" t="s">
        <v>749</v>
      </c>
      <c r="G127" s="24" t="s">
        <v>114</v>
      </c>
    </row>
    <row r="128" spans="1:7">
      <c r="A128" s="22">
        <v>126</v>
      </c>
      <c r="B128" s="23">
        <f t="shared" si="8"/>
        <v>16509</v>
      </c>
      <c r="C128" s="23" t="str">
        <f t="shared" si="9"/>
        <v>407D</v>
      </c>
      <c r="F128" s="22" t="s">
        <v>749</v>
      </c>
      <c r="G128" s="24" t="s">
        <v>114</v>
      </c>
    </row>
    <row r="129" spans="1:7">
      <c r="A129" s="22">
        <v>127</v>
      </c>
      <c r="B129" s="23">
        <f t="shared" si="8"/>
        <v>16510</v>
      </c>
      <c r="C129" s="23" t="str">
        <f t="shared" si="9"/>
        <v>407E</v>
      </c>
      <c r="F129" s="22" t="s">
        <v>749</v>
      </c>
      <c r="G129" s="24" t="s">
        <v>114</v>
      </c>
    </row>
    <row r="130" spans="1:7">
      <c r="A130" s="22">
        <v>128</v>
      </c>
      <c r="B130" s="23">
        <f t="shared" si="8"/>
        <v>16511</v>
      </c>
      <c r="C130" s="23" t="str">
        <f t="shared" si="9"/>
        <v>407F</v>
      </c>
      <c r="F130" s="22" t="s">
        <v>749</v>
      </c>
      <c r="G130" s="24" t="s">
        <v>114</v>
      </c>
    </row>
    <row r="131" spans="1:7">
      <c r="A131" s="22">
        <v>129</v>
      </c>
      <c r="B131" s="23">
        <f t="shared" si="8"/>
        <v>16512</v>
      </c>
      <c r="C131" s="23" t="str">
        <f t="shared" si="9"/>
        <v>4080</v>
      </c>
      <c r="F131" s="22" t="s">
        <v>749</v>
      </c>
      <c r="G131" s="24" t="s">
        <v>114</v>
      </c>
    </row>
    <row r="132" spans="1:7">
      <c r="A132" s="22">
        <v>130</v>
      </c>
      <c r="B132" s="23">
        <f t="shared" si="8"/>
        <v>16513</v>
      </c>
      <c r="C132" s="23" t="str">
        <f t="shared" si="9"/>
        <v>4081</v>
      </c>
    </row>
    <row r="133" spans="1:7">
      <c r="A133" s="22">
        <v>131</v>
      </c>
      <c r="B133" s="23">
        <f t="shared" ref="B133:B152" si="10">$B$2+A133-1</f>
        <v>16514</v>
      </c>
      <c r="C133" s="23" t="str">
        <f t="shared" ref="C133:C152" si="11">DEC2HEX(B133,4)</f>
        <v>4082</v>
      </c>
    </row>
    <row r="134" spans="1:7">
      <c r="A134" s="22">
        <v>132</v>
      </c>
      <c r="B134" s="23">
        <f t="shared" si="10"/>
        <v>16515</v>
      </c>
      <c r="C134" s="23" t="str">
        <f t="shared" si="11"/>
        <v>4083</v>
      </c>
    </row>
    <row r="135" spans="1:7">
      <c r="A135" s="22">
        <v>133</v>
      </c>
      <c r="B135" s="23">
        <f t="shared" si="10"/>
        <v>16516</v>
      </c>
      <c r="C135" s="23" t="str">
        <f t="shared" si="11"/>
        <v>4084</v>
      </c>
    </row>
    <row r="136" spans="1:7">
      <c r="A136" s="22">
        <v>134</v>
      </c>
      <c r="B136" s="23">
        <f t="shared" si="10"/>
        <v>16517</v>
      </c>
      <c r="C136" s="23" t="str">
        <f t="shared" si="11"/>
        <v>4085</v>
      </c>
    </row>
    <row r="137" spans="1:7">
      <c r="A137" s="22">
        <v>135</v>
      </c>
      <c r="B137" s="23">
        <f t="shared" si="10"/>
        <v>16518</v>
      </c>
      <c r="C137" s="23" t="str">
        <f t="shared" si="11"/>
        <v>4086</v>
      </c>
    </row>
    <row r="138" spans="1:7">
      <c r="A138" s="22">
        <v>136</v>
      </c>
      <c r="B138" s="23">
        <f t="shared" si="10"/>
        <v>16519</v>
      </c>
      <c r="C138" s="23" t="str">
        <f t="shared" si="11"/>
        <v>4087</v>
      </c>
    </row>
    <row r="139" spans="1:7">
      <c r="A139" s="22">
        <v>137</v>
      </c>
      <c r="B139" s="23">
        <f t="shared" si="10"/>
        <v>16520</v>
      </c>
      <c r="C139" s="23" t="str">
        <f t="shared" si="11"/>
        <v>4088</v>
      </c>
    </row>
    <row r="140" spans="1:7">
      <c r="A140" s="22">
        <v>138</v>
      </c>
      <c r="B140" s="23">
        <f t="shared" si="10"/>
        <v>16521</v>
      </c>
      <c r="C140" s="23" t="str">
        <f t="shared" si="11"/>
        <v>4089</v>
      </c>
    </row>
    <row r="141" spans="1:7">
      <c r="A141" s="22">
        <v>139</v>
      </c>
      <c r="B141" s="23">
        <f t="shared" si="10"/>
        <v>16522</v>
      </c>
      <c r="C141" s="23" t="str">
        <f t="shared" si="11"/>
        <v>408A</v>
      </c>
    </row>
    <row r="142" spans="1:7">
      <c r="A142" s="22">
        <v>140</v>
      </c>
      <c r="B142" s="23">
        <f t="shared" si="10"/>
        <v>16523</v>
      </c>
      <c r="C142" s="23" t="str">
        <f t="shared" si="11"/>
        <v>408B</v>
      </c>
    </row>
    <row r="143" spans="1:7">
      <c r="A143" s="22">
        <v>141</v>
      </c>
      <c r="B143" s="23">
        <f t="shared" si="10"/>
        <v>16524</v>
      </c>
      <c r="C143" s="23" t="str">
        <f t="shared" si="11"/>
        <v>408C</v>
      </c>
    </row>
    <row r="144" spans="1:7">
      <c r="A144" s="22">
        <v>142</v>
      </c>
      <c r="B144" s="23">
        <f t="shared" si="10"/>
        <v>16525</v>
      </c>
      <c r="C144" s="23" t="str">
        <f t="shared" si="11"/>
        <v>408D</v>
      </c>
    </row>
    <row r="145" spans="1:9">
      <c r="A145" s="22">
        <v>143</v>
      </c>
      <c r="B145" s="23">
        <f t="shared" si="10"/>
        <v>16526</v>
      </c>
      <c r="C145" s="23" t="str">
        <f t="shared" si="11"/>
        <v>408E</v>
      </c>
    </row>
    <row r="146" spans="1:9">
      <c r="A146" s="22">
        <v>144</v>
      </c>
      <c r="B146" s="23">
        <f t="shared" si="10"/>
        <v>16527</v>
      </c>
      <c r="C146" s="23" t="str">
        <f t="shared" si="11"/>
        <v>408F</v>
      </c>
    </row>
    <row r="147" spans="1:9" ht="165">
      <c r="A147" s="22">
        <v>145</v>
      </c>
      <c r="B147" s="23">
        <f t="shared" si="10"/>
        <v>16528</v>
      </c>
      <c r="C147" s="23" t="str">
        <f t="shared" si="11"/>
        <v>4090</v>
      </c>
      <c r="F147" s="28" t="s">
        <v>751</v>
      </c>
      <c r="G147" s="24" t="s">
        <v>114</v>
      </c>
      <c r="I147" s="29" t="s">
        <v>752</v>
      </c>
    </row>
    <row r="148" spans="1:9">
      <c r="A148" s="22">
        <v>146</v>
      </c>
      <c r="B148" s="23">
        <f t="shared" si="10"/>
        <v>16529</v>
      </c>
      <c r="C148" s="23" t="str">
        <f t="shared" si="11"/>
        <v>4091</v>
      </c>
    </row>
    <row r="149" spans="1:9" ht="75">
      <c r="A149" s="22">
        <v>147</v>
      </c>
      <c r="B149" s="23">
        <f t="shared" si="10"/>
        <v>16530</v>
      </c>
      <c r="C149" s="23" t="str">
        <f t="shared" si="11"/>
        <v>4092</v>
      </c>
      <c r="F149" t="s">
        <v>753</v>
      </c>
      <c r="G149" s="24" t="s">
        <v>114</v>
      </c>
      <c r="I149" s="29" t="s">
        <v>754</v>
      </c>
    </row>
    <row r="150" spans="1:9">
      <c r="A150" s="22">
        <v>148</v>
      </c>
      <c r="B150" s="23">
        <f t="shared" si="10"/>
        <v>16531</v>
      </c>
      <c r="C150" s="23" t="str">
        <f t="shared" si="11"/>
        <v>4093</v>
      </c>
    </row>
    <row r="151" spans="1:9" ht="30">
      <c r="A151" s="22">
        <v>149</v>
      </c>
      <c r="B151" s="23">
        <f t="shared" si="10"/>
        <v>16532</v>
      </c>
      <c r="C151" s="23" t="str">
        <f t="shared" si="11"/>
        <v>4094</v>
      </c>
      <c r="F151" t="s">
        <v>755</v>
      </c>
      <c r="G151" s="24" t="s">
        <v>114</v>
      </c>
      <c r="I151" s="29" t="s">
        <v>756</v>
      </c>
    </row>
    <row r="152" spans="1:9">
      <c r="A152" s="22">
        <v>150</v>
      </c>
      <c r="B152" s="23">
        <f t="shared" si="10"/>
        <v>16533</v>
      </c>
      <c r="C152" s="23" t="str">
        <f t="shared" si="11"/>
        <v>4095</v>
      </c>
      <c r="F152" t="s">
        <v>757</v>
      </c>
      <c r="G152" s="24" t="s">
        <v>114</v>
      </c>
      <c r="I152" s="29" t="s">
        <v>758</v>
      </c>
    </row>
    <row r="153" spans="1:9">
      <c r="A153" s="22">
        <v>151</v>
      </c>
      <c r="B153" s="23">
        <f t="shared" ref="B153:B184" si="12">$B$2+A153-1</f>
        <v>16534</v>
      </c>
      <c r="C153" s="23" t="str">
        <f t="shared" ref="C153:C184" si="13">DEC2HEX(B153,4)</f>
        <v>4096</v>
      </c>
      <c r="F153" t="s">
        <v>759</v>
      </c>
      <c r="G153" s="24" t="s">
        <v>114</v>
      </c>
      <c r="I153" s="29" t="s">
        <v>758</v>
      </c>
    </row>
    <row r="154" spans="1:9">
      <c r="A154" s="22">
        <v>152</v>
      </c>
      <c r="B154" s="23">
        <f t="shared" si="12"/>
        <v>16535</v>
      </c>
      <c r="C154" s="23" t="str">
        <f t="shared" si="13"/>
        <v>4097</v>
      </c>
      <c r="F154" t="s">
        <v>760</v>
      </c>
      <c r="G154" s="24" t="s">
        <v>114</v>
      </c>
      <c r="I154" s="29" t="s">
        <v>761</v>
      </c>
    </row>
    <row r="155" spans="1:9">
      <c r="A155" s="22">
        <v>153</v>
      </c>
      <c r="B155" s="23">
        <f t="shared" si="12"/>
        <v>16536</v>
      </c>
      <c r="C155" s="23" t="str">
        <f t="shared" si="13"/>
        <v>4098</v>
      </c>
      <c r="F155" t="s">
        <v>762</v>
      </c>
      <c r="G155" s="24" t="s">
        <v>114</v>
      </c>
      <c r="I155" s="29" t="s">
        <v>763</v>
      </c>
    </row>
    <row r="156" spans="1:9">
      <c r="A156" s="22">
        <v>154</v>
      </c>
      <c r="B156" s="23">
        <f t="shared" si="12"/>
        <v>16537</v>
      </c>
      <c r="C156" s="23" t="str">
        <f t="shared" si="13"/>
        <v>4099</v>
      </c>
      <c r="F156" t="s">
        <v>764</v>
      </c>
      <c r="G156" s="24" t="s">
        <v>114</v>
      </c>
      <c r="I156" t="s">
        <v>765</v>
      </c>
    </row>
    <row r="157" spans="1:9">
      <c r="A157" s="22">
        <v>155</v>
      </c>
      <c r="B157" s="23">
        <f t="shared" si="12"/>
        <v>16538</v>
      </c>
      <c r="C157" s="23" t="str">
        <f t="shared" si="13"/>
        <v>409A</v>
      </c>
      <c r="F157" t="s">
        <v>597</v>
      </c>
      <c r="G157" s="24" t="s">
        <v>114</v>
      </c>
    </row>
    <row r="158" spans="1:9">
      <c r="A158" s="22">
        <v>156</v>
      </c>
      <c r="B158" s="23">
        <f t="shared" si="12"/>
        <v>16539</v>
      </c>
      <c r="C158" s="23" t="str">
        <f t="shared" si="13"/>
        <v>409B</v>
      </c>
      <c r="F158" t="s">
        <v>766</v>
      </c>
      <c r="G158" s="24" t="s">
        <v>114</v>
      </c>
    </row>
    <row r="159" spans="1:9">
      <c r="A159" s="22">
        <v>157</v>
      </c>
      <c r="B159" s="23">
        <f t="shared" si="12"/>
        <v>16540</v>
      </c>
      <c r="C159" s="23" t="str">
        <f t="shared" si="13"/>
        <v>409C</v>
      </c>
      <c r="F159" t="s">
        <v>767</v>
      </c>
      <c r="G159" s="24" t="s">
        <v>114</v>
      </c>
    </row>
    <row r="160" spans="1:9">
      <c r="A160" s="22">
        <v>158</v>
      </c>
      <c r="B160" s="23">
        <f t="shared" si="12"/>
        <v>16541</v>
      </c>
      <c r="C160" s="23" t="str">
        <f t="shared" si="13"/>
        <v>409D</v>
      </c>
      <c r="F160" t="s">
        <v>768</v>
      </c>
      <c r="G160" s="24" t="s">
        <v>114</v>
      </c>
    </row>
    <row r="161" spans="1:7">
      <c r="A161" s="22">
        <v>159</v>
      </c>
      <c r="B161" s="23">
        <f t="shared" si="12"/>
        <v>16542</v>
      </c>
      <c r="C161" s="23" t="str">
        <f t="shared" si="13"/>
        <v>409E</v>
      </c>
      <c r="F161" t="s">
        <v>769</v>
      </c>
      <c r="G161" s="24" t="s">
        <v>114</v>
      </c>
    </row>
    <row r="162" spans="1:7">
      <c r="A162" s="22">
        <v>160</v>
      </c>
      <c r="B162" s="23">
        <f t="shared" si="12"/>
        <v>16543</v>
      </c>
      <c r="C162" s="23" t="str">
        <f t="shared" si="13"/>
        <v>409F</v>
      </c>
      <c r="F162" t="s">
        <v>770</v>
      </c>
      <c r="G162" s="24" t="s">
        <v>114</v>
      </c>
    </row>
    <row r="163" spans="1:7">
      <c r="A163" s="22">
        <v>161</v>
      </c>
      <c r="B163" s="23">
        <f t="shared" si="12"/>
        <v>16544</v>
      </c>
      <c r="C163" s="23" t="str">
        <f t="shared" si="13"/>
        <v>40A0</v>
      </c>
      <c r="F163" t="s">
        <v>771</v>
      </c>
      <c r="G163" s="24" t="s">
        <v>114</v>
      </c>
    </row>
    <row r="164" spans="1:7">
      <c r="A164" s="22">
        <v>162</v>
      </c>
      <c r="B164" s="23">
        <f t="shared" si="12"/>
        <v>16545</v>
      </c>
      <c r="C164" s="23" t="str">
        <f t="shared" si="13"/>
        <v>40A1</v>
      </c>
      <c r="F164" t="s">
        <v>772</v>
      </c>
    </row>
    <row r="165" spans="1:7">
      <c r="A165" s="22">
        <v>163</v>
      </c>
      <c r="B165" s="23">
        <f t="shared" si="12"/>
        <v>16546</v>
      </c>
      <c r="C165" s="23" t="str">
        <f t="shared" si="13"/>
        <v>40A2</v>
      </c>
      <c r="F165" t="s">
        <v>773</v>
      </c>
    </row>
    <row r="166" spans="1:7">
      <c r="A166" s="22">
        <v>164</v>
      </c>
      <c r="B166" s="23">
        <f t="shared" si="12"/>
        <v>16547</v>
      </c>
      <c r="C166" s="23" t="str">
        <f t="shared" si="13"/>
        <v>40A3</v>
      </c>
      <c r="G166" s="24"/>
    </row>
    <row r="167" spans="1:7">
      <c r="A167" s="22">
        <v>165</v>
      </c>
      <c r="B167" s="23">
        <f t="shared" si="12"/>
        <v>16548</v>
      </c>
      <c r="C167" s="23" t="str">
        <f t="shared" si="13"/>
        <v>40A4</v>
      </c>
    </row>
    <row r="168" spans="1:7">
      <c r="A168" s="22">
        <v>166</v>
      </c>
      <c r="B168" s="23">
        <f t="shared" si="12"/>
        <v>16549</v>
      </c>
      <c r="C168" s="23" t="str">
        <f t="shared" si="13"/>
        <v>40A5</v>
      </c>
    </row>
    <row r="169" spans="1:7">
      <c r="A169" s="22">
        <v>167</v>
      </c>
      <c r="B169" s="23">
        <f t="shared" si="12"/>
        <v>16550</v>
      </c>
      <c r="C169" s="23" t="str">
        <f t="shared" si="13"/>
        <v>40A6</v>
      </c>
    </row>
    <row r="170" spans="1:7">
      <c r="A170" s="22">
        <v>168</v>
      </c>
      <c r="B170" s="23">
        <f t="shared" si="12"/>
        <v>16551</v>
      </c>
      <c r="C170" s="23" t="str">
        <f t="shared" si="13"/>
        <v>40A7</v>
      </c>
    </row>
    <row r="171" spans="1:7">
      <c r="A171" s="22">
        <v>169</v>
      </c>
      <c r="B171" s="23">
        <f t="shared" si="12"/>
        <v>16552</v>
      </c>
      <c r="C171" s="23" t="str">
        <f t="shared" si="13"/>
        <v>40A8</v>
      </c>
    </row>
    <row r="172" spans="1:7">
      <c r="A172" s="22">
        <v>170</v>
      </c>
      <c r="B172" s="23">
        <f t="shared" si="12"/>
        <v>16553</v>
      </c>
      <c r="C172" s="23" t="str">
        <f t="shared" si="13"/>
        <v>40A9</v>
      </c>
    </row>
    <row r="173" spans="1:7">
      <c r="A173" s="22">
        <v>171</v>
      </c>
      <c r="B173" s="23">
        <f t="shared" si="12"/>
        <v>16554</v>
      </c>
      <c r="C173" s="23" t="str">
        <f t="shared" si="13"/>
        <v>40AA</v>
      </c>
    </row>
    <row r="174" spans="1:7">
      <c r="A174" s="22">
        <v>172</v>
      </c>
      <c r="B174" s="23">
        <f t="shared" si="12"/>
        <v>16555</v>
      </c>
      <c r="C174" s="23" t="str">
        <f t="shared" si="13"/>
        <v>40AB</v>
      </c>
    </row>
    <row r="175" spans="1:7">
      <c r="A175" s="22">
        <v>173</v>
      </c>
      <c r="B175" s="23">
        <f t="shared" si="12"/>
        <v>16556</v>
      </c>
      <c r="C175" s="23" t="str">
        <f t="shared" si="13"/>
        <v>40AC</v>
      </c>
    </row>
    <row r="176" spans="1:7">
      <c r="A176" s="22">
        <v>174</v>
      </c>
      <c r="B176" s="23">
        <f t="shared" si="12"/>
        <v>16557</v>
      </c>
      <c r="C176" s="23" t="str">
        <f t="shared" si="13"/>
        <v>40AD</v>
      </c>
    </row>
    <row r="177" spans="1:3">
      <c r="A177" s="22">
        <v>175</v>
      </c>
      <c r="B177" s="23">
        <f t="shared" si="12"/>
        <v>16558</v>
      </c>
      <c r="C177" s="23" t="str">
        <f t="shared" si="13"/>
        <v>40AE</v>
      </c>
    </row>
    <row r="178" spans="1:3">
      <c r="A178" s="22">
        <v>176</v>
      </c>
      <c r="B178" s="23">
        <f t="shared" si="12"/>
        <v>16559</v>
      </c>
      <c r="C178" s="23" t="str">
        <f t="shared" si="13"/>
        <v>40AF</v>
      </c>
    </row>
    <row r="179" spans="1:3">
      <c r="A179" s="22">
        <v>177</v>
      </c>
      <c r="B179" s="23">
        <f t="shared" si="12"/>
        <v>16560</v>
      </c>
      <c r="C179" s="23" t="str">
        <f t="shared" si="13"/>
        <v>40B0</v>
      </c>
    </row>
    <row r="180" spans="1:3">
      <c r="A180" s="22">
        <v>178</v>
      </c>
      <c r="B180" s="23">
        <f t="shared" si="12"/>
        <v>16561</v>
      </c>
      <c r="C180" s="23" t="str">
        <f t="shared" si="13"/>
        <v>40B1</v>
      </c>
    </row>
    <row r="181" spans="1:3">
      <c r="A181" s="22">
        <v>179</v>
      </c>
      <c r="B181" s="23">
        <f t="shared" si="12"/>
        <v>16562</v>
      </c>
      <c r="C181" s="23" t="str">
        <f t="shared" si="13"/>
        <v>40B2</v>
      </c>
    </row>
    <row r="182" spans="1:3">
      <c r="A182" s="22">
        <v>180</v>
      </c>
      <c r="B182" s="23">
        <f t="shared" si="12"/>
        <v>16563</v>
      </c>
      <c r="C182" s="23" t="str">
        <f t="shared" si="13"/>
        <v>40B3</v>
      </c>
    </row>
    <row r="183" spans="1:3">
      <c r="A183" s="22">
        <v>181</v>
      </c>
      <c r="B183" s="23">
        <f t="shared" si="12"/>
        <v>16564</v>
      </c>
      <c r="C183" s="23" t="str">
        <f t="shared" si="13"/>
        <v>40B4</v>
      </c>
    </row>
    <row r="184" spans="1:3">
      <c r="A184" s="22">
        <v>182</v>
      </c>
      <c r="B184" s="23">
        <f t="shared" si="12"/>
        <v>16565</v>
      </c>
      <c r="C184" s="23" t="str">
        <f t="shared" si="13"/>
        <v>40B5</v>
      </c>
    </row>
    <row r="185" spans="1:3">
      <c r="A185" s="22">
        <v>183</v>
      </c>
      <c r="B185" s="23">
        <f t="shared" ref="B185:B220" si="14">$B$2+A185-1</f>
        <v>16566</v>
      </c>
      <c r="C185" s="23" t="str">
        <f t="shared" ref="C185:C220" si="15">DEC2HEX(B185,4)</f>
        <v>40B6</v>
      </c>
    </row>
    <row r="186" spans="1:3">
      <c r="A186" s="22">
        <v>184</v>
      </c>
      <c r="B186" s="23">
        <f t="shared" si="14"/>
        <v>16567</v>
      </c>
      <c r="C186" s="23" t="str">
        <f t="shared" si="15"/>
        <v>40B7</v>
      </c>
    </row>
    <row r="187" spans="1:3">
      <c r="A187" s="22">
        <v>185</v>
      </c>
      <c r="B187" s="23">
        <f t="shared" si="14"/>
        <v>16568</v>
      </c>
      <c r="C187" s="23" t="str">
        <f t="shared" si="15"/>
        <v>40B8</v>
      </c>
    </row>
    <row r="188" spans="1:3">
      <c r="A188" s="22">
        <v>186</v>
      </c>
      <c r="B188" s="23">
        <f t="shared" si="14"/>
        <v>16569</v>
      </c>
      <c r="C188" s="23" t="str">
        <f t="shared" si="15"/>
        <v>40B9</v>
      </c>
    </row>
    <row r="189" spans="1:3">
      <c r="A189" s="22">
        <v>187</v>
      </c>
      <c r="B189" s="23">
        <f t="shared" si="14"/>
        <v>16570</v>
      </c>
      <c r="C189" s="23" t="str">
        <f t="shared" si="15"/>
        <v>40BA</v>
      </c>
    </row>
    <row r="190" spans="1:3">
      <c r="A190" s="22">
        <v>188</v>
      </c>
      <c r="B190" s="23">
        <f t="shared" si="14"/>
        <v>16571</v>
      </c>
      <c r="C190" s="23" t="str">
        <f t="shared" si="15"/>
        <v>40BB</v>
      </c>
    </row>
    <row r="191" spans="1:3">
      <c r="A191" s="22">
        <v>189</v>
      </c>
      <c r="B191" s="23">
        <f t="shared" si="14"/>
        <v>16572</v>
      </c>
      <c r="C191" s="23" t="str">
        <f t="shared" si="15"/>
        <v>40BC</v>
      </c>
    </row>
    <row r="192" spans="1:3">
      <c r="A192" s="22">
        <v>190</v>
      </c>
      <c r="B192" s="23">
        <f t="shared" si="14"/>
        <v>16573</v>
      </c>
      <c r="C192" s="23" t="str">
        <f t="shared" si="15"/>
        <v>40BD</v>
      </c>
    </row>
    <row r="193" spans="1:3">
      <c r="A193" s="22">
        <v>191</v>
      </c>
      <c r="B193" s="23">
        <f t="shared" si="14"/>
        <v>16574</v>
      </c>
      <c r="C193" s="23" t="str">
        <f t="shared" si="15"/>
        <v>40BE</v>
      </c>
    </row>
    <row r="194" spans="1:3">
      <c r="A194" s="22">
        <v>192</v>
      </c>
      <c r="B194" s="23">
        <f t="shared" si="14"/>
        <v>16575</v>
      </c>
      <c r="C194" s="23" t="str">
        <f t="shared" si="15"/>
        <v>40BF</v>
      </c>
    </row>
    <row r="195" spans="1:3">
      <c r="A195" s="22">
        <v>193</v>
      </c>
      <c r="B195" s="23">
        <f t="shared" si="14"/>
        <v>16576</v>
      </c>
      <c r="C195" s="23" t="str">
        <f t="shared" si="15"/>
        <v>40C0</v>
      </c>
    </row>
    <row r="196" spans="1:3">
      <c r="A196" s="22">
        <v>194</v>
      </c>
      <c r="B196" s="23">
        <f t="shared" si="14"/>
        <v>16577</v>
      </c>
      <c r="C196" s="23" t="str">
        <f t="shared" si="15"/>
        <v>40C1</v>
      </c>
    </row>
    <row r="197" spans="1:3">
      <c r="A197" s="22">
        <v>195</v>
      </c>
      <c r="B197" s="23">
        <f t="shared" si="14"/>
        <v>16578</v>
      </c>
      <c r="C197" s="23" t="str">
        <f t="shared" si="15"/>
        <v>40C2</v>
      </c>
    </row>
    <row r="198" spans="1:3">
      <c r="A198" s="22">
        <v>196</v>
      </c>
      <c r="B198" s="23">
        <f t="shared" si="14"/>
        <v>16579</v>
      </c>
      <c r="C198" s="23" t="str">
        <f t="shared" si="15"/>
        <v>40C3</v>
      </c>
    </row>
    <row r="199" spans="1:3">
      <c r="A199" s="22">
        <v>197</v>
      </c>
      <c r="B199" s="23">
        <f t="shared" si="14"/>
        <v>16580</v>
      </c>
      <c r="C199" s="23" t="str">
        <f t="shared" si="15"/>
        <v>40C4</v>
      </c>
    </row>
    <row r="200" spans="1:3">
      <c r="A200" s="22">
        <v>198</v>
      </c>
      <c r="B200" s="23">
        <f t="shared" si="14"/>
        <v>16581</v>
      </c>
      <c r="C200" s="23" t="str">
        <f t="shared" si="15"/>
        <v>40C5</v>
      </c>
    </row>
    <row r="201" spans="1:3">
      <c r="A201" s="22">
        <v>199</v>
      </c>
      <c r="B201" s="23">
        <f t="shared" si="14"/>
        <v>16582</v>
      </c>
      <c r="C201" s="23" t="str">
        <f t="shared" si="15"/>
        <v>40C6</v>
      </c>
    </row>
    <row r="202" spans="1:3">
      <c r="A202" s="22">
        <v>200</v>
      </c>
      <c r="B202" s="23">
        <f t="shared" si="14"/>
        <v>16583</v>
      </c>
      <c r="C202" s="23" t="str">
        <f t="shared" si="15"/>
        <v>40C7</v>
      </c>
    </row>
    <row r="203" spans="1:3">
      <c r="A203" s="22">
        <v>201</v>
      </c>
      <c r="B203" s="23">
        <f t="shared" si="14"/>
        <v>16584</v>
      </c>
      <c r="C203" s="23" t="str">
        <f t="shared" si="15"/>
        <v>40C8</v>
      </c>
    </row>
    <row r="204" spans="1:3">
      <c r="A204" s="22">
        <v>202</v>
      </c>
      <c r="B204" s="23">
        <f t="shared" si="14"/>
        <v>16585</v>
      </c>
      <c r="C204" s="23" t="str">
        <f t="shared" si="15"/>
        <v>40C9</v>
      </c>
    </row>
    <row r="205" spans="1:3">
      <c r="A205" s="22">
        <v>203</v>
      </c>
      <c r="B205" s="23">
        <f t="shared" si="14"/>
        <v>16586</v>
      </c>
      <c r="C205" s="23" t="str">
        <f t="shared" si="15"/>
        <v>40CA</v>
      </c>
    </row>
    <row r="206" spans="1:3">
      <c r="A206" s="22">
        <v>204</v>
      </c>
      <c r="B206" s="23">
        <f t="shared" si="14"/>
        <v>16587</v>
      </c>
      <c r="C206" s="23" t="str">
        <f t="shared" si="15"/>
        <v>40CB</v>
      </c>
    </row>
    <row r="207" spans="1:3">
      <c r="A207" s="22">
        <v>205</v>
      </c>
      <c r="B207" s="23">
        <f t="shared" si="14"/>
        <v>16588</v>
      </c>
      <c r="C207" s="23" t="str">
        <f t="shared" si="15"/>
        <v>40CC</v>
      </c>
    </row>
    <row r="208" spans="1:3">
      <c r="A208" s="22">
        <v>206</v>
      </c>
      <c r="B208" s="23">
        <f t="shared" si="14"/>
        <v>16589</v>
      </c>
      <c r="C208" s="23" t="str">
        <f t="shared" si="15"/>
        <v>40CD</v>
      </c>
    </row>
    <row r="209" spans="1:3">
      <c r="A209" s="22">
        <v>207</v>
      </c>
      <c r="B209" s="23">
        <f t="shared" si="14"/>
        <v>16590</v>
      </c>
      <c r="C209" s="23" t="str">
        <f t="shared" si="15"/>
        <v>40CE</v>
      </c>
    </row>
    <row r="210" spans="1:3">
      <c r="A210" s="22">
        <v>208</v>
      </c>
      <c r="B210" s="23">
        <f t="shared" si="14"/>
        <v>16591</v>
      </c>
      <c r="C210" s="23" t="str">
        <f t="shared" si="15"/>
        <v>40CF</v>
      </c>
    </row>
    <row r="211" spans="1:3">
      <c r="A211" s="22">
        <v>209</v>
      </c>
      <c r="B211" s="23">
        <f t="shared" si="14"/>
        <v>16592</v>
      </c>
      <c r="C211" s="23" t="str">
        <f t="shared" si="15"/>
        <v>40D0</v>
      </c>
    </row>
    <row r="212" spans="1:3">
      <c r="A212" s="22">
        <v>210</v>
      </c>
      <c r="B212" s="23">
        <f t="shared" si="14"/>
        <v>16593</v>
      </c>
      <c r="C212" s="23" t="str">
        <f t="shared" si="15"/>
        <v>40D1</v>
      </c>
    </row>
    <row r="213" spans="1:3">
      <c r="A213" s="22">
        <v>211</v>
      </c>
      <c r="B213" s="23">
        <f t="shared" si="14"/>
        <v>16594</v>
      </c>
      <c r="C213" s="23" t="str">
        <f t="shared" si="15"/>
        <v>40D2</v>
      </c>
    </row>
    <row r="214" spans="1:3">
      <c r="A214" s="22">
        <v>212</v>
      </c>
      <c r="B214" s="23">
        <f t="shared" si="14"/>
        <v>16595</v>
      </c>
      <c r="C214" s="23" t="str">
        <f t="shared" si="15"/>
        <v>40D3</v>
      </c>
    </row>
    <row r="215" spans="1:3">
      <c r="A215" s="22">
        <v>213</v>
      </c>
      <c r="B215" s="23">
        <f t="shared" si="14"/>
        <v>16596</v>
      </c>
      <c r="C215" s="23" t="str">
        <f t="shared" si="15"/>
        <v>40D4</v>
      </c>
    </row>
    <row r="216" spans="1:3">
      <c r="A216" s="22">
        <v>214</v>
      </c>
      <c r="B216" s="23">
        <f t="shared" si="14"/>
        <v>16597</v>
      </c>
      <c r="C216" s="23" t="str">
        <f t="shared" si="15"/>
        <v>40D5</v>
      </c>
    </row>
    <row r="217" spans="1:3">
      <c r="A217" s="22">
        <v>215</v>
      </c>
      <c r="B217" s="23">
        <f t="shared" si="14"/>
        <v>16598</v>
      </c>
      <c r="C217" s="23" t="str">
        <f t="shared" si="15"/>
        <v>40D6</v>
      </c>
    </row>
    <row r="218" spans="1:3">
      <c r="A218" s="22">
        <v>216</v>
      </c>
      <c r="B218" s="23">
        <f t="shared" si="14"/>
        <v>16599</v>
      </c>
      <c r="C218" s="23" t="str">
        <f t="shared" si="15"/>
        <v>40D7</v>
      </c>
    </row>
    <row r="219" spans="1:3">
      <c r="A219" s="22">
        <v>217</v>
      </c>
      <c r="B219" s="23">
        <f t="shared" si="14"/>
        <v>16600</v>
      </c>
      <c r="C219" s="23" t="str">
        <f t="shared" si="15"/>
        <v>40D8</v>
      </c>
    </row>
    <row r="220" spans="1:3">
      <c r="A220" s="22">
        <v>218</v>
      </c>
      <c r="B220" s="23">
        <f t="shared" si="14"/>
        <v>16601</v>
      </c>
      <c r="C220" s="23" t="str">
        <f t="shared" si="15"/>
        <v>40D9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2"/>
  <sheetViews>
    <sheetView topLeftCell="A25" workbookViewId="0">
      <selection activeCell="P34" sqref="P34"/>
    </sheetView>
  </sheetViews>
  <sheetFormatPr defaultColWidth="8.7109375" defaultRowHeight="15"/>
  <cols>
    <col min="1" max="1" width="5.5703125" style="4" customWidth="1"/>
    <col min="2" max="2" width="14" style="4" customWidth="1"/>
    <col min="3" max="3" width="5.5703125" style="3" customWidth="1"/>
    <col min="4" max="4" width="7.5703125" style="3" customWidth="1"/>
    <col min="5" max="5" width="5.5703125" style="3" customWidth="1"/>
    <col min="6" max="6" width="21.5703125" style="4" customWidth="1"/>
    <col min="7" max="7" width="9.7109375" style="4" customWidth="1"/>
    <col min="8" max="8" width="6.5703125" style="4" customWidth="1"/>
    <col min="9" max="9" width="35.85546875" style="3" customWidth="1"/>
    <col min="10" max="11" width="7.5703125" style="3" customWidth="1"/>
    <col min="12" max="15" width="8.7109375" style="3"/>
    <col min="16" max="16" width="9.5703125" style="4" customWidth="1"/>
    <col min="17" max="17" width="27.5703125" style="4" customWidth="1"/>
    <col min="18" max="18" width="9.5703125" style="4" customWidth="1"/>
    <col min="19" max="19" width="7.5703125" style="3" customWidth="1"/>
    <col min="20" max="20" width="21.85546875" style="5" customWidth="1"/>
    <col min="21" max="16384" width="8.7109375" style="3"/>
  </cols>
  <sheetData>
    <row r="1" spans="1:11">
      <c r="A1" s="1" t="s">
        <v>99</v>
      </c>
      <c r="B1" s="1" t="s">
        <v>100</v>
      </c>
      <c r="C1" s="1" t="s">
        <v>101</v>
      </c>
      <c r="D1" s="1" t="s">
        <v>102</v>
      </c>
      <c r="E1" s="1" t="s">
        <v>103</v>
      </c>
      <c r="F1" s="1" t="s">
        <v>104</v>
      </c>
      <c r="G1" s="1" t="s">
        <v>105</v>
      </c>
      <c r="H1" s="1" t="s">
        <v>106</v>
      </c>
      <c r="I1" s="1" t="s">
        <v>107</v>
      </c>
      <c r="J1" s="1" t="s">
        <v>108</v>
      </c>
      <c r="K1" s="1" t="s">
        <v>109</v>
      </c>
    </row>
    <row r="2" spans="1:11" s="1" customFormat="1" ht="180">
      <c r="B2" s="1">
        <f>HEX2DEC(C2)</f>
        <v>16640</v>
      </c>
      <c r="C2" s="1" t="s">
        <v>774</v>
      </c>
      <c r="F2" s="6" t="s">
        <v>775</v>
      </c>
      <c r="G2" s="6"/>
      <c r="H2" s="6"/>
      <c r="I2" s="13" t="s">
        <v>776</v>
      </c>
    </row>
    <row r="3" spans="1:11" s="1" customFormat="1">
      <c r="A3" s="1">
        <v>1</v>
      </c>
      <c r="B3" s="4">
        <f t="shared" ref="B3:B18" si="0">$B$2+A3-1</f>
        <v>16640</v>
      </c>
      <c r="C3" s="4" t="str">
        <f t="shared" ref="C3:C18" si="1">DEC2HEX(B3,4)</f>
        <v>4100</v>
      </c>
      <c r="E3" s="1" t="s">
        <v>112</v>
      </c>
      <c r="F3" s="6" t="s">
        <v>712</v>
      </c>
      <c r="G3" s="6" t="s">
        <v>114</v>
      </c>
      <c r="H3" s="6" t="s">
        <v>88</v>
      </c>
      <c r="I3" s="13" t="s">
        <v>777</v>
      </c>
    </row>
    <row r="4" spans="1:11" s="1" customFormat="1">
      <c r="A4" s="1">
        <v>2</v>
      </c>
      <c r="B4" s="4">
        <f t="shared" si="0"/>
        <v>16641</v>
      </c>
      <c r="C4" s="4" t="str">
        <f t="shared" si="1"/>
        <v>4101</v>
      </c>
      <c r="E4" s="1" t="s">
        <v>112</v>
      </c>
      <c r="F4" s="6" t="s">
        <v>778</v>
      </c>
      <c r="G4" s="6" t="s">
        <v>114</v>
      </c>
      <c r="H4" s="6" t="s">
        <v>88</v>
      </c>
      <c r="I4" s="13" t="s">
        <v>779</v>
      </c>
    </row>
    <row r="5" spans="1:11" s="1" customFormat="1">
      <c r="A5" s="1">
        <v>3</v>
      </c>
      <c r="B5" s="4">
        <f t="shared" si="0"/>
        <v>16642</v>
      </c>
      <c r="C5" s="4" t="str">
        <f t="shared" si="1"/>
        <v>4102</v>
      </c>
      <c r="E5" s="1" t="s">
        <v>112</v>
      </c>
      <c r="F5" s="6" t="s">
        <v>344</v>
      </c>
      <c r="G5" s="6" t="s">
        <v>114</v>
      </c>
      <c r="H5" s="6" t="s">
        <v>88</v>
      </c>
      <c r="I5" s="13" t="s">
        <v>463</v>
      </c>
    </row>
    <row r="6" spans="1:11" s="1" customFormat="1">
      <c r="A6" s="1">
        <v>4</v>
      </c>
      <c r="B6" s="4">
        <f t="shared" si="0"/>
        <v>16643</v>
      </c>
      <c r="C6" s="4" t="str">
        <f t="shared" si="1"/>
        <v>4103</v>
      </c>
      <c r="E6" s="1" t="s">
        <v>112</v>
      </c>
      <c r="F6" s="6" t="s">
        <v>464</v>
      </c>
      <c r="G6" s="6" t="s">
        <v>114</v>
      </c>
      <c r="H6" s="6" t="s">
        <v>88</v>
      </c>
      <c r="I6" s="13" t="s">
        <v>780</v>
      </c>
    </row>
    <row r="7" spans="1:11" s="1" customFormat="1">
      <c r="A7" s="1">
        <v>5</v>
      </c>
      <c r="B7" s="4">
        <f t="shared" si="0"/>
        <v>16644</v>
      </c>
      <c r="C7" s="4" t="str">
        <f t="shared" si="1"/>
        <v>4104</v>
      </c>
      <c r="E7" s="1" t="s">
        <v>112</v>
      </c>
      <c r="F7" s="6" t="s">
        <v>346</v>
      </c>
      <c r="G7" s="6" t="s">
        <v>114</v>
      </c>
      <c r="H7" s="6" t="s">
        <v>88</v>
      </c>
      <c r="I7" s="13" t="s">
        <v>781</v>
      </c>
    </row>
    <row r="8" spans="1:11" s="1" customFormat="1" ht="90">
      <c r="A8" s="1">
        <v>6</v>
      </c>
      <c r="B8" s="4">
        <f t="shared" si="0"/>
        <v>16645</v>
      </c>
      <c r="C8" s="4" t="str">
        <f t="shared" si="1"/>
        <v>4105</v>
      </c>
      <c r="E8" s="1" t="s">
        <v>112</v>
      </c>
      <c r="F8" s="6" t="s">
        <v>782</v>
      </c>
      <c r="G8" s="6" t="s">
        <v>114</v>
      </c>
      <c r="H8" s="6" t="s">
        <v>783</v>
      </c>
      <c r="I8" s="13" t="s">
        <v>784</v>
      </c>
    </row>
    <row r="9" spans="1:11" s="1" customFormat="1" ht="45">
      <c r="A9" s="1">
        <v>7</v>
      </c>
      <c r="B9" s="4">
        <f t="shared" si="0"/>
        <v>16646</v>
      </c>
      <c r="C9" s="4" t="str">
        <f t="shared" si="1"/>
        <v>4106</v>
      </c>
      <c r="E9" s="1" t="s">
        <v>112</v>
      </c>
      <c r="F9" s="6" t="s">
        <v>401</v>
      </c>
      <c r="G9" s="6" t="s">
        <v>114</v>
      </c>
      <c r="H9" s="6" t="s">
        <v>88</v>
      </c>
      <c r="I9" s="13" t="s">
        <v>785</v>
      </c>
    </row>
    <row r="10" spans="1:11" s="1" customFormat="1" ht="60">
      <c r="A10" s="1">
        <v>8</v>
      </c>
      <c r="B10" s="4">
        <f t="shared" si="0"/>
        <v>16647</v>
      </c>
      <c r="C10" s="4" t="str">
        <f t="shared" si="1"/>
        <v>4107</v>
      </c>
      <c r="E10" s="1" t="s">
        <v>112</v>
      </c>
      <c r="F10" s="7" t="s">
        <v>351</v>
      </c>
      <c r="G10" s="6" t="s">
        <v>114</v>
      </c>
      <c r="H10" s="6" t="s">
        <v>88</v>
      </c>
      <c r="I10" s="13" t="s">
        <v>786</v>
      </c>
    </row>
    <row r="11" spans="1:11" s="1" customFormat="1" ht="60">
      <c r="A11" s="1">
        <v>9</v>
      </c>
      <c r="B11" s="4">
        <f t="shared" si="0"/>
        <v>16648</v>
      </c>
      <c r="C11" s="4" t="str">
        <f t="shared" si="1"/>
        <v>4108</v>
      </c>
      <c r="E11" s="1" t="s">
        <v>112</v>
      </c>
      <c r="F11" s="7" t="s">
        <v>787</v>
      </c>
      <c r="G11" s="6" t="s">
        <v>114</v>
      </c>
      <c r="H11" s="6" t="s">
        <v>232</v>
      </c>
      <c r="I11" s="13" t="s">
        <v>788</v>
      </c>
    </row>
    <row r="12" spans="1:11" s="1" customFormat="1" ht="45">
      <c r="A12" s="1">
        <v>10</v>
      </c>
      <c r="B12" s="4">
        <f t="shared" si="0"/>
        <v>16649</v>
      </c>
      <c r="C12" s="4" t="str">
        <f t="shared" si="1"/>
        <v>4109</v>
      </c>
      <c r="E12" s="1" t="s">
        <v>112</v>
      </c>
      <c r="F12" s="8" t="s">
        <v>789</v>
      </c>
      <c r="G12" s="6" t="s">
        <v>114</v>
      </c>
      <c r="H12" s="6" t="s">
        <v>232</v>
      </c>
      <c r="I12" s="13" t="s">
        <v>790</v>
      </c>
    </row>
    <row r="13" spans="1:11" s="1" customFormat="1" ht="60">
      <c r="A13" s="1">
        <v>11</v>
      </c>
      <c r="B13" s="4">
        <f t="shared" si="0"/>
        <v>16650</v>
      </c>
      <c r="C13" s="4" t="str">
        <f t="shared" si="1"/>
        <v>410A</v>
      </c>
      <c r="E13" s="1" t="s">
        <v>112</v>
      </c>
      <c r="F13" s="7" t="s">
        <v>791</v>
      </c>
      <c r="G13" s="6" t="s">
        <v>114</v>
      </c>
      <c r="H13" s="6" t="s">
        <v>232</v>
      </c>
      <c r="I13" s="13" t="s">
        <v>792</v>
      </c>
    </row>
    <row r="14" spans="1:11" s="1" customFormat="1" ht="45">
      <c r="A14" s="1">
        <v>12</v>
      </c>
      <c r="B14" s="4">
        <f t="shared" si="0"/>
        <v>16651</v>
      </c>
      <c r="C14" s="4" t="str">
        <f t="shared" si="1"/>
        <v>410B</v>
      </c>
      <c r="E14" s="1" t="s">
        <v>112</v>
      </c>
      <c r="F14" s="7" t="s">
        <v>793</v>
      </c>
      <c r="G14" s="6" t="s">
        <v>114</v>
      </c>
      <c r="H14" s="6" t="s">
        <v>232</v>
      </c>
      <c r="I14" s="13" t="s">
        <v>794</v>
      </c>
    </row>
    <row r="15" spans="1:11" s="1" customFormat="1" ht="45">
      <c r="A15" s="1">
        <v>13</v>
      </c>
      <c r="B15" s="4">
        <f t="shared" si="0"/>
        <v>16652</v>
      </c>
      <c r="C15" s="4" t="str">
        <f t="shared" si="1"/>
        <v>410C</v>
      </c>
      <c r="E15" s="1" t="s">
        <v>112</v>
      </c>
      <c r="F15" s="6" t="s">
        <v>795</v>
      </c>
      <c r="G15" s="6" t="s">
        <v>114</v>
      </c>
      <c r="H15" s="6" t="s">
        <v>232</v>
      </c>
      <c r="I15" s="13" t="s">
        <v>796</v>
      </c>
    </row>
    <row r="16" spans="1:11" s="1" customFormat="1" ht="45">
      <c r="A16" s="1">
        <v>14</v>
      </c>
      <c r="B16" s="4">
        <f t="shared" si="0"/>
        <v>16653</v>
      </c>
      <c r="C16" s="4" t="str">
        <f t="shared" si="1"/>
        <v>410D</v>
      </c>
      <c r="E16" s="1" t="s">
        <v>112</v>
      </c>
      <c r="F16" s="6" t="s">
        <v>797</v>
      </c>
      <c r="G16" s="6" t="s">
        <v>114</v>
      </c>
      <c r="H16" s="6" t="s">
        <v>232</v>
      </c>
      <c r="I16" s="13" t="s">
        <v>798</v>
      </c>
    </row>
    <row r="17" spans="1:20" s="1" customFormat="1">
      <c r="A17" s="1">
        <v>15</v>
      </c>
      <c r="B17" s="4">
        <f t="shared" si="0"/>
        <v>16654</v>
      </c>
      <c r="C17" s="4" t="str">
        <f t="shared" si="1"/>
        <v>410E</v>
      </c>
      <c r="E17" s="1" t="s">
        <v>112</v>
      </c>
      <c r="F17" s="7" t="s">
        <v>799</v>
      </c>
      <c r="G17" s="6" t="s">
        <v>114</v>
      </c>
      <c r="H17" s="6" t="s">
        <v>800</v>
      </c>
      <c r="I17" s="13" t="s">
        <v>801</v>
      </c>
    </row>
    <row r="18" spans="1:20">
      <c r="A18" s="1">
        <v>16</v>
      </c>
      <c r="B18" s="4">
        <f t="shared" si="0"/>
        <v>16655</v>
      </c>
      <c r="C18" s="4" t="str">
        <f t="shared" si="1"/>
        <v>410F</v>
      </c>
      <c r="E18" s="1" t="s">
        <v>112</v>
      </c>
      <c r="F18" s="7" t="s">
        <v>802</v>
      </c>
      <c r="G18" s="6" t="s">
        <v>114</v>
      </c>
      <c r="H18" s="6" t="s">
        <v>800</v>
      </c>
      <c r="I18" s="13" t="s">
        <v>803</v>
      </c>
    </row>
    <row r="19" spans="1:20" ht="75">
      <c r="A19" s="1">
        <v>17</v>
      </c>
      <c r="B19" s="4">
        <f t="shared" ref="B19:B69" si="2">$B$2+A19-1</f>
        <v>16656</v>
      </c>
      <c r="C19" s="4" t="str">
        <f t="shared" ref="C19:C66" si="3">DEC2HEX(B19,4)</f>
        <v>4110</v>
      </c>
      <c r="E19" s="1" t="s">
        <v>112</v>
      </c>
      <c r="F19" s="7" t="s">
        <v>342</v>
      </c>
      <c r="G19" s="6" t="s">
        <v>114</v>
      </c>
      <c r="H19" s="7" t="s">
        <v>88</v>
      </c>
      <c r="I19" s="13" t="s">
        <v>804</v>
      </c>
    </row>
    <row r="20" spans="1:20">
      <c r="A20" s="1">
        <v>18</v>
      </c>
      <c r="B20" s="4">
        <f t="shared" si="2"/>
        <v>16657</v>
      </c>
      <c r="C20" s="4" t="str">
        <f t="shared" si="3"/>
        <v>4111</v>
      </c>
      <c r="E20" s="1" t="s">
        <v>112</v>
      </c>
      <c r="F20" s="7" t="s">
        <v>805</v>
      </c>
      <c r="G20" s="6" t="s">
        <v>114</v>
      </c>
      <c r="H20" s="7" t="s">
        <v>88</v>
      </c>
      <c r="I20" s="10" t="s">
        <v>806</v>
      </c>
      <c r="P20" s="3"/>
      <c r="Q20" s="3"/>
      <c r="R20" s="3"/>
      <c r="T20" s="3"/>
    </row>
    <row r="21" spans="1:20">
      <c r="A21" s="1">
        <v>19</v>
      </c>
      <c r="B21" s="4">
        <f t="shared" si="2"/>
        <v>16658</v>
      </c>
      <c r="C21" s="4" t="str">
        <f t="shared" si="3"/>
        <v>4112</v>
      </c>
      <c r="E21" s="1" t="s">
        <v>112</v>
      </c>
      <c r="F21" s="7" t="s">
        <v>807</v>
      </c>
      <c r="G21" s="6" t="s">
        <v>114</v>
      </c>
      <c r="H21" s="7" t="s">
        <v>88</v>
      </c>
      <c r="I21" s="14" t="s">
        <v>808</v>
      </c>
      <c r="P21" s="3"/>
      <c r="Q21" s="3"/>
      <c r="R21" s="3"/>
      <c r="T21" s="3"/>
    </row>
    <row r="22" spans="1:20">
      <c r="A22" s="1">
        <v>20</v>
      </c>
      <c r="B22" s="4">
        <f t="shared" si="2"/>
        <v>16659</v>
      </c>
      <c r="C22" s="4" t="str">
        <f t="shared" si="3"/>
        <v>4113</v>
      </c>
      <c r="E22" s="1" t="s">
        <v>112</v>
      </c>
      <c r="F22" s="7" t="s">
        <v>809</v>
      </c>
      <c r="G22" s="6" t="s">
        <v>114</v>
      </c>
      <c r="H22" s="6" t="s">
        <v>232</v>
      </c>
      <c r="I22" s="10" t="s">
        <v>810</v>
      </c>
      <c r="P22" s="3"/>
      <c r="Q22" s="3"/>
      <c r="R22" s="3"/>
      <c r="T22" s="3"/>
    </row>
    <row r="23" spans="1:20">
      <c r="A23" s="1">
        <v>21</v>
      </c>
      <c r="B23" s="4">
        <f t="shared" si="2"/>
        <v>16660</v>
      </c>
      <c r="C23" s="4" t="str">
        <f t="shared" si="3"/>
        <v>4114</v>
      </c>
      <c r="E23" s="1" t="s">
        <v>112</v>
      </c>
      <c r="F23" s="7" t="s">
        <v>381</v>
      </c>
      <c r="G23" s="6" t="s">
        <v>114</v>
      </c>
      <c r="H23" s="7" t="s">
        <v>811</v>
      </c>
      <c r="I23" s="10" t="s">
        <v>812</v>
      </c>
      <c r="P23" s="3"/>
      <c r="Q23" s="3"/>
      <c r="R23" s="3"/>
      <c r="T23" s="3"/>
    </row>
    <row r="24" spans="1:20">
      <c r="A24" s="1">
        <v>22</v>
      </c>
      <c r="B24" s="4">
        <f t="shared" si="2"/>
        <v>16661</v>
      </c>
      <c r="C24" s="4" t="str">
        <f t="shared" si="3"/>
        <v>4115</v>
      </c>
      <c r="E24" s="1" t="s">
        <v>112</v>
      </c>
      <c r="F24" s="7" t="s">
        <v>813</v>
      </c>
      <c r="G24" s="6" t="s">
        <v>114</v>
      </c>
      <c r="H24" s="7" t="s">
        <v>811</v>
      </c>
      <c r="I24" s="10" t="s">
        <v>812</v>
      </c>
      <c r="P24" s="3"/>
      <c r="Q24" s="3"/>
      <c r="R24" s="3"/>
      <c r="T24" s="3"/>
    </row>
    <row r="25" spans="1:20">
      <c r="A25" s="1">
        <v>23</v>
      </c>
      <c r="B25" s="4">
        <f t="shared" si="2"/>
        <v>16662</v>
      </c>
      <c r="C25" s="4" t="str">
        <f t="shared" si="3"/>
        <v>4116</v>
      </c>
      <c r="E25" s="1" t="s">
        <v>112</v>
      </c>
      <c r="F25" s="7" t="s">
        <v>814</v>
      </c>
      <c r="G25" s="6" t="s">
        <v>114</v>
      </c>
      <c r="H25" s="7" t="s">
        <v>605</v>
      </c>
      <c r="I25" s="10" t="s">
        <v>815</v>
      </c>
      <c r="P25" s="3"/>
      <c r="Q25" s="3"/>
      <c r="R25" s="3"/>
      <c r="T25" s="3"/>
    </row>
    <row r="26" spans="1:20">
      <c r="A26" s="1">
        <v>24</v>
      </c>
      <c r="B26" s="4">
        <f t="shared" si="2"/>
        <v>16663</v>
      </c>
      <c r="C26" s="4" t="str">
        <f t="shared" si="3"/>
        <v>4117</v>
      </c>
      <c r="E26" s="1" t="s">
        <v>112</v>
      </c>
      <c r="F26" s="7" t="s">
        <v>816</v>
      </c>
      <c r="G26" s="6" t="s">
        <v>114</v>
      </c>
      <c r="H26" s="7" t="s">
        <v>88</v>
      </c>
      <c r="I26" s="14" t="s">
        <v>808</v>
      </c>
      <c r="P26" s="3"/>
      <c r="Q26" s="3"/>
      <c r="R26" s="3"/>
      <c r="T26" s="3"/>
    </row>
    <row r="27" spans="1:20" s="2" customFormat="1">
      <c r="A27" s="1">
        <v>25</v>
      </c>
      <c r="B27" s="4">
        <f t="shared" si="2"/>
        <v>16664</v>
      </c>
      <c r="C27" s="2" t="str">
        <f t="shared" si="3"/>
        <v>4118</v>
      </c>
      <c r="E27" s="9" t="s">
        <v>112</v>
      </c>
      <c r="F27" s="7" t="s">
        <v>817</v>
      </c>
      <c r="G27" s="10" t="s">
        <v>114</v>
      </c>
      <c r="H27" s="10" t="s">
        <v>232</v>
      </c>
      <c r="I27" s="11" t="s">
        <v>818</v>
      </c>
    </row>
    <row r="28" spans="1:20" s="2" customFormat="1" ht="45">
      <c r="A28" s="1">
        <v>26</v>
      </c>
      <c r="B28" s="4">
        <f t="shared" si="2"/>
        <v>16665</v>
      </c>
      <c r="C28" s="2" t="str">
        <f t="shared" si="3"/>
        <v>4119</v>
      </c>
      <c r="E28" s="9" t="s">
        <v>112</v>
      </c>
      <c r="F28" s="7" t="s">
        <v>819</v>
      </c>
      <c r="G28" s="10" t="s">
        <v>114</v>
      </c>
      <c r="H28" s="11" t="s">
        <v>811</v>
      </c>
      <c r="I28" s="15" t="s">
        <v>820</v>
      </c>
    </row>
    <row r="29" spans="1:20">
      <c r="A29" s="1">
        <v>27</v>
      </c>
      <c r="B29" s="4">
        <f t="shared" si="2"/>
        <v>16666</v>
      </c>
      <c r="C29" s="4" t="str">
        <f t="shared" si="3"/>
        <v>411A</v>
      </c>
      <c r="E29" s="1" t="s">
        <v>112</v>
      </c>
      <c r="F29" s="7" t="s">
        <v>821</v>
      </c>
      <c r="G29" s="6" t="s">
        <v>114</v>
      </c>
      <c r="H29" s="7" t="s">
        <v>88</v>
      </c>
      <c r="I29" s="14" t="s">
        <v>808</v>
      </c>
      <c r="P29" s="3"/>
      <c r="Q29" s="3"/>
      <c r="R29" s="3"/>
      <c r="T29" s="3"/>
    </row>
    <row r="30" spans="1:20">
      <c r="A30" s="1">
        <v>28</v>
      </c>
      <c r="B30" s="4">
        <f t="shared" si="2"/>
        <v>16667</v>
      </c>
      <c r="C30" s="4" t="str">
        <f t="shared" si="3"/>
        <v>411B</v>
      </c>
      <c r="E30" s="1" t="s">
        <v>112</v>
      </c>
      <c r="F30" s="7" t="s">
        <v>822</v>
      </c>
      <c r="G30" s="6" t="s">
        <v>114</v>
      </c>
      <c r="H30" s="7" t="s">
        <v>823</v>
      </c>
      <c r="I30" s="16" t="s">
        <v>824</v>
      </c>
      <c r="P30" s="3"/>
      <c r="Q30" s="3"/>
      <c r="R30" s="3"/>
      <c r="T30" s="3"/>
    </row>
    <row r="31" spans="1:20">
      <c r="A31" s="1">
        <v>29</v>
      </c>
      <c r="B31" s="4">
        <f t="shared" si="2"/>
        <v>16668</v>
      </c>
      <c r="C31" s="4" t="str">
        <f t="shared" si="3"/>
        <v>411C</v>
      </c>
      <c r="E31" s="1" t="s">
        <v>112</v>
      </c>
      <c r="F31" s="7" t="s">
        <v>825</v>
      </c>
      <c r="G31" s="6" t="s">
        <v>114</v>
      </c>
      <c r="H31" s="7" t="s">
        <v>823</v>
      </c>
      <c r="I31" s="16" t="s">
        <v>824</v>
      </c>
      <c r="P31" s="3"/>
      <c r="Q31" s="3"/>
      <c r="R31" s="3"/>
      <c r="T31" s="3"/>
    </row>
    <row r="32" spans="1:20">
      <c r="A32" s="1">
        <v>30</v>
      </c>
      <c r="B32" s="4">
        <f t="shared" si="2"/>
        <v>16669</v>
      </c>
      <c r="C32" s="4" t="str">
        <f t="shared" si="3"/>
        <v>411D</v>
      </c>
      <c r="E32" s="1" t="s">
        <v>112</v>
      </c>
      <c r="F32" s="7" t="s">
        <v>826</v>
      </c>
      <c r="G32" s="6" t="s">
        <v>114</v>
      </c>
      <c r="H32" s="7" t="s">
        <v>88</v>
      </c>
      <c r="I32" s="14" t="s">
        <v>808</v>
      </c>
      <c r="P32" s="3"/>
      <c r="Q32" s="3"/>
      <c r="R32" s="3"/>
      <c r="T32" s="3"/>
    </row>
    <row r="33" spans="1:20" ht="60">
      <c r="A33" s="1">
        <v>31</v>
      </c>
      <c r="B33" s="4">
        <f t="shared" si="2"/>
        <v>16670</v>
      </c>
      <c r="C33" s="4" t="str">
        <f t="shared" si="3"/>
        <v>411E</v>
      </c>
      <c r="E33" s="1" t="s">
        <v>112</v>
      </c>
      <c r="F33" s="7" t="s">
        <v>827</v>
      </c>
      <c r="G33" s="6" t="s">
        <v>114</v>
      </c>
      <c r="H33" s="7" t="s">
        <v>88</v>
      </c>
      <c r="I33" s="17" t="s">
        <v>828</v>
      </c>
      <c r="P33" s="3"/>
      <c r="Q33" s="3"/>
      <c r="R33" s="3"/>
      <c r="T33" s="3"/>
    </row>
    <row r="34" spans="1:20">
      <c r="A34" s="1">
        <v>32</v>
      </c>
      <c r="B34" s="4">
        <f t="shared" si="2"/>
        <v>16671</v>
      </c>
      <c r="C34" s="4" t="str">
        <f t="shared" si="3"/>
        <v>411F</v>
      </c>
      <c r="E34" s="1" t="s">
        <v>112</v>
      </c>
      <c r="F34" s="7" t="s">
        <v>829</v>
      </c>
      <c r="G34" s="6" t="s">
        <v>114</v>
      </c>
      <c r="H34" s="7" t="s">
        <v>88</v>
      </c>
      <c r="I34" s="17" t="s">
        <v>830</v>
      </c>
      <c r="P34" s="3"/>
      <c r="Q34" s="3"/>
      <c r="R34" s="3"/>
      <c r="T34" s="3"/>
    </row>
    <row r="35" spans="1:20" ht="30">
      <c r="A35" s="1">
        <v>33</v>
      </c>
      <c r="B35" s="4">
        <f t="shared" si="2"/>
        <v>16672</v>
      </c>
      <c r="C35" s="4" t="str">
        <f t="shared" si="3"/>
        <v>4120</v>
      </c>
      <c r="E35" s="1" t="s">
        <v>112</v>
      </c>
      <c r="F35" s="7" t="s">
        <v>831</v>
      </c>
      <c r="G35" s="6" t="s">
        <v>114</v>
      </c>
      <c r="H35" s="12">
        <v>0.01</v>
      </c>
      <c r="I35" s="13" t="s">
        <v>832</v>
      </c>
      <c r="P35" s="3"/>
      <c r="Q35" s="3"/>
      <c r="R35" s="3"/>
      <c r="T35" s="3"/>
    </row>
    <row r="36" spans="1:20" ht="30">
      <c r="A36" s="1">
        <v>34</v>
      </c>
      <c r="B36" s="4">
        <f t="shared" si="2"/>
        <v>16673</v>
      </c>
      <c r="C36" s="4" t="str">
        <f t="shared" si="3"/>
        <v>4121</v>
      </c>
      <c r="E36" s="1" t="s">
        <v>112</v>
      </c>
      <c r="F36" s="7" t="s">
        <v>833</v>
      </c>
      <c r="G36" s="6" t="s">
        <v>114</v>
      </c>
      <c r="H36" s="12">
        <v>0.01</v>
      </c>
      <c r="I36" s="13" t="s">
        <v>834</v>
      </c>
      <c r="P36" s="3"/>
      <c r="Q36" s="3"/>
      <c r="R36" s="3"/>
      <c r="T36" s="3"/>
    </row>
    <row r="37" spans="1:20" ht="30">
      <c r="A37" s="1">
        <v>35</v>
      </c>
      <c r="B37" s="4">
        <f t="shared" si="2"/>
        <v>16674</v>
      </c>
      <c r="C37" s="4" t="str">
        <f t="shared" si="3"/>
        <v>4122</v>
      </c>
      <c r="E37" s="1" t="s">
        <v>112</v>
      </c>
      <c r="F37" s="7" t="s">
        <v>835</v>
      </c>
      <c r="G37" s="6" t="s">
        <v>114</v>
      </c>
      <c r="H37" s="12">
        <v>0.01</v>
      </c>
      <c r="I37" s="13" t="s">
        <v>836</v>
      </c>
      <c r="P37" s="3"/>
      <c r="Q37" s="3"/>
      <c r="R37" s="3"/>
      <c r="T37" s="3"/>
    </row>
    <row r="38" spans="1:20" ht="45">
      <c r="A38" s="1">
        <v>36</v>
      </c>
      <c r="B38" s="4">
        <f t="shared" si="2"/>
        <v>16675</v>
      </c>
      <c r="C38" s="4" t="str">
        <f t="shared" si="3"/>
        <v>4123</v>
      </c>
      <c r="E38" s="1" t="s">
        <v>112</v>
      </c>
      <c r="F38" s="7" t="s">
        <v>837</v>
      </c>
      <c r="G38" s="6" t="s">
        <v>114</v>
      </c>
      <c r="H38" s="7" t="s">
        <v>88</v>
      </c>
      <c r="I38" s="14" t="s">
        <v>838</v>
      </c>
      <c r="P38" s="3"/>
      <c r="Q38" s="3"/>
      <c r="R38" s="3"/>
      <c r="T38" s="3"/>
    </row>
    <row r="39" spans="1:20">
      <c r="A39" s="1">
        <v>37</v>
      </c>
      <c r="B39" s="4">
        <f t="shared" si="2"/>
        <v>16676</v>
      </c>
      <c r="C39" s="4" t="str">
        <f t="shared" si="3"/>
        <v>4124</v>
      </c>
      <c r="E39" s="1" t="s">
        <v>112</v>
      </c>
      <c r="F39" s="7" t="s">
        <v>839</v>
      </c>
      <c r="G39" s="6" t="s">
        <v>114</v>
      </c>
      <c r="H39" s="7" t="s">
        <v>88</v>
      </c>
      <c r="I39" s="14" t="s">
        <v>808</v>
      </c>
      <c r="P39" s="3"/>
      <c r="Q39" s="3"/>
      <c r="R39" s="3"/>
      <c r="T39" s="3"/>
    </row>
    <row r="40" spans="1:20">
      <c r="A40" s="1">
        <v>38</v>
      </c>
      <c r="B40" s="4">
        <f t="shared" si="2"/>
        <v>16677</v>
      </c>
      <c r="C40" s="4" t="str">
        <f t="shared" si="3"/>
        <v>4125</v>
      </c>
      <c r="E40" s="1" t="s">
        <v>112</v>
      </c>
      <c r="F40" s="7" t="s">
        <v>840</v>
      </c>
      <c r="G40" s="6" t="s">
        <v>114</v>
      </c>
      <c r="H40" s="7" t="s">
        <v>88</v>
      </c>
      <c r="I40" s="14" t="s">
        <v>808</v>
      </c>
      <c r="P40" s="3"/>
      <c r="Q40" s="3"/>
      <c r="R40" s="3"/>
      <c r="T40" s="3"/>
    </row>
    <row r="41" spans="1:20">
      <c r="A41" s="1">
        <v>39</v>
      </c>
      <c r="B41" s="4">
        <f t="shared" si="2"/>
        <v>16678</v>
      </c>
      <c r="C41" s="4" t="str">
        <f t="shared" si="3"/>
        <v>4126</v>
      </c>
      <c r="E41" s="1" t="s">
        <v>112</v>
      </c>
      <c r="F41" s="7" t="s">
        <v>597</v>
      </c>
      <c r="G41" s="6" t="s">
        <v>88</v>
      </c>
      <c r="H41" s="7" t="s">
        <v>88</v>
      </c>
      <c r="I41" s="14" t="s">
        <v>88</v>
      </c>
      <c r="P41" s="3"/>
      <c r="Q41" s="3"/>
      <c r="R41" s="3"/>
      <c r="T41" s="3"/>
    </row>
    <row r="42" spans="1:20">
      <c r="A42" s="1">
        <v>40</v>
      </c>
      <c r="B42" s="4">
        <f t="shared" si="2"/>
        <v>16679</v>
      </c>
      <c r="C42" s="4" t="str">
        <f t="shared" si="3"/>
        <v>4127</v>
      </c>
      <c r="E42" s="1" t="s">
        <v>112</v>
      </c>
      <c r="F42" s="7" t="s">
        <v>841</v>
      </c>
      <c r="G42" s="6" t="s">
        <v>114</v>
      </c>
      <c r="H42" s="7" t="s">
        <v>88</v>
      </c>
      <c r="I42" s="14" t="s">
        <v>808</v>
      </c>
      <c r="P42" s="3"/>
      <c r="Q42" s="3"/>
      <c r="R42" s="3"/>
      <c r="T42" s="3"/>
    </row>
    <row r="43" spans="1:20">
      <c r="A43" s="1">
        <v>41</v>
      </c>
      <c r="B43" s="4">
        <f t="shared" si="2"/>
        <v>16680</v>
      </c>
      <c r="C43" s="4" t="str">
        <f t="shared" si="3"/>
        <v>4128</v>
      </c>
      <c r="E43" s="1" t="s">
        <v>112</v>
      </c>
      <c r="F43" s="7" t="s">
        <v>842</v>
      </c>
      <c r="G43" s="6" t="s">
        <v>114</v>
      </c>
      <c r="H43" s="7" t="s">
        <v>88</v>
      </c>
      <c r="I43" s="14" t="s">
        <v>808</v>
      </c>
      <c r="P43" s="3"/>
      <c r="Q43" s="3"/>
      <c r="R43" s="3"/>
      <c r="T43" s="3"/>
    </row>
    <row r="44" spans="1:20">
      <c r="A44" s="1">
        <v>42</v>
      </c>
      <c r="B44" s="4">
        <f t="shared" si="2"/>
        <v>16681</v>
      </c>
      <c r="C44" s="4" t="str">
        <f t="shared" si="3"/>
        <v>4129</v>
      </c>
      <c r="E44" s="1" t="s">
        <v>112</v>
      </c>
      <c r="F44" s="7" t="s">
        <v>843</v>
      </c>
      <c r="G44" s="6" t="s">
        <v>114</v>
      </c>
      <c r="H44" s="7" t="s">
        <v>88</v>
      </c>
      <c r="I44" s="14" t="s">
        <v>808</v>
      </c>
      <c r="P44" s="3"/>
      <c r="Q44" s="3"/>
      <c r="R44" s="3"/>
      <c r="T44" s="3"/>
    </row>
    <row r="45" spans="1:20">
      <c r="A45" s="1">
        <v>43</v>
      </c>
      <c r="B45" s="4">
        <f t="shared" si="2"/>
        <v>16682</v>
      </c>
      <c r="C45" s="4" t="str">
        <f t="shared" si="3"/>
        <v>412A</v>
      </c>
      <c r="E45" s="1" t="s">
        <v>112</v>
      </c>
      <c r="F45" s="7" t="s">
        <v>844</v>
      </c>
      <c r="G45" s="6" t="s">
        <v>114</v>
      </c>
      <c r="H45" s="7" t="s">
        <v>88</v>
      </c>
      <c r="I45" s="14" t="s">
        <v>808</v>
      </c>
      <c r="P45" s="3"/>
      <c r="Q45" s="3"/>
      <c r="R45" s="3"/>
      <c r="T45" s="3"/>
    </row>
    <row r="46" spans="1:20">
      <c r="A46" s="1">
        <v>44</v>
      </c>
      <c r="B46" s="4">
        <f t="shared" si="2"/>
        <v>16683</v>
      </c>
      <c r="C46" s="4" t="str">
        <f t="shared" si="3"/>
        <v>412B</v>
      </c>
      <c r="E46" s="1" t="s">
        <v>112</v>
      </c>
      <c r="F46" s="7" t="s">
        <v>845</v>
      </c>
      <c r="G46" s="6" t="s">
        <v>114</v>
      </c>
      <c r="H46" s="7" t="s">
        <v>88</v>
      </c>
      <c r="I46" s="14" t="s">
        <v>808</v>
      </c>
      <c r="P46" s="3"/>
      <c r="Q46" s="3"/>
      <c r="R46" s="3"/>
      <c r="T46" s="3"/>
    </row>
    <row r="47" spans="1:20">
      <c r="A47" s="1">
        <v>45</v>
      </c>
      <c r="B47" s="4">
        <f t="shared" si="2"/>
        <v>16684</v>
      </c>
      <c r="C47" s="4" t="str">
        <f t="shared" si="3"/>
        <v>412C</v>
      </c>
      <c r="E47" s="1" t="s">
        <v>112</v>
      </c>
      <c r="F47" s="7" t="s">
        <v>846</v>
      </c>
      <c r="G47" s="6" t="s">
        <v>114</v>
      </c>
      <c r="H47" s="7" t="s">
        <v>88</v>
      </c>
      <c r="I47" s="14" t="s">
        <v>808</v>
      </c>
      <c r="P47" s="3"/>
      <c r="Q47" s="3"/>
      <c r="R47" s="3"/>
      <c r="T47" s="3"/>
    </row>
    <row r="48" spans="1:20">
      <c r="A48" s="1">
        <v>46</v>
      </c>
      <c r="B48" s="4">
        <f t="shared" si="2"/>
        <v>16685</v>
      </c>
      <c r="C48" s="4" t="str">
        <f t="shared" si="3"/>
        <v>412D</v>
      </c>
      <c r="E48" s="1" t="s">
        <v>112</v>
      </c>
      <c r="F48" s="7" t="s">
        <v>847</v>
      </c>
      <c r="G48" s="6" t="s">
        <v>114</v>
      </c>
      <c r="H48" s="7" t="s">
        <v>88</v>
      </c>
      <c r="I48" s="14" t="s">
        <v>808</v>
      </c>
      <c r="P48" s="3"/>
      <c r="Q48" s="3"/>
      <c r="R48" s="3"/>
      <c r="T48" s="3"/>
    </row>
    <row r="49" spans="1:20" ht="75">
      <c r="A49" s="1">
        <v>47</v>
      </c>
      <c r="B49" s="4">
        <f t="shared" si="2"/>
        <v>16686</v>
      </c>
      <c r="C49" s="4" t="str">
        <f t="shared" si="3"/>
        <v>412E</v>
      </c>
      <c r="E49" s="1" t="s">
        <v>112</v>
      </c>
      <c r="F49" s="7" t="s">
        <v>848</v>
      </c>
      <c r="G49" s="6" t="s">
        <v>114</v>
      </c>
      <c r="H49" s="7" t="s">
        <v>88</v>
      </c>
      <c r="I49" s="14" t="s">
        <v>849</v>
      </c>
      <c r="P49" s="3"/>
      <c r="Q49" s="3"/>
      <c r="R49" s="3"/>
      <c r="T49" s="3"/>
    </row>
    <row r="50" spans="1:20">
      <c r="A50" s="1">
        <v>48</v>
      </c>
      <c r="B50" s="4">
        <f t="shared" si="2"/>
        <v>16687</v>
      </c>
      <c r="C50" s="4" t="str">
        <f t="shared" si="3"/>
        <v>412F</v>
      </c>
      <c r="E50" s="1" t="s">
        <v>112</v>
      </c>
      <c r="F50" s="7" t="s">
        <v>850</v>
      </c>
      <c r="G50" s="6" t="s">
        <v>114</v>
      </c>
      <c r="H50" s="7" t="s">
        <v>823</v>
      </c>
      <c r="I50" s="17" t="s">
        <v>824</v>
      </c>
      <c r="P50" s="3"/>
      <c r="Q50" s="3"/>
      <c r="R50" s="3"/>
      <c r="T50" s="3"/>
    </row>
    <row r="51" spans="1:20">
      <c r="A51" s="1">
        <v>49</v>
      </c>
      <c r="B51" s="4">
        <f t="shared" si="2"/>
        <v>16688</v>
      </c>
      <c r="C51" s="4" t="str">
        <f t="shared" si="3"/>
        <v>4130</v>
      </c>
      <c r="E51" s="1" t="s">
        <v>112</v>
      </c>
      <c r="F51" s="7" t="s">
        <v>851</v>
      </c>
      <c r="G51" s="6" t="s">
        <v>114</v>
      </c>
      <c r="H51" s="7" t="s">
        <v>88</v>
      </c>
      <c r="I51" s="14" t="s">
        <v>808</v>
      </c>
      <c r="P51" s="3"/>
      <c r="Q51" s="3"/>
      <c r="R51" s="3"/>
      <c r="T51" s="3"/>
    </row>
    <row r="52" spans="1:20">
      <c r="A52" s="1">
        <v>50</v>
      </c>
      <c r="B52" s="4">
        <f t="shared" si="2"/>
        <v>16689</v>
      </c>
      <c r="C52" s="4" t="str">
        <f t="shared" si="3"/>
        <v>4131</v>
      </c>
      <c r="E52" s="1" t="s">
        <v>112</v>
      </c>
      <c r="F52" s="7" t="s">
        <v>852</v>
      </c>
      <c r="G52" s="6" t="s">
        <v>114</v>
      </c>
      <c r="H52" s="7" t="s">
        <v>88</v>
      </c>
      <c r="I52" s="14" t="s">
        <v>808</v>
      </c>
    </row>
    <row r="53" spans="1:20">
      <c r="A53" s="1">
        <v>51</v>
      </c>
      <c r="B53" s="4">
        <f t="shared" si="2"/>
        <v>16690</v>
      </c>
      <c r="C53" s="4" t="str">
        <f t="shared" si="3"/>
        <v>4132</v>
      </c>
      <c r="E53" s="1" t="s">
        <v>112</v>
      </c>
      <c r="F53" s="7" t="s">
        <v>853</v>
      </c>
      <c r="G53" s="6" t="s">
        <v>114</v>
      </c>
      <c r="H53" s="7" t="s">
        <v>88</v>
      </c>
      <c r="I53" s="14" t="s">
        <v>808</v>
      </c>
    </row>
    <row r="54" spans="1:20">
      <c r="A54" s="1">
        <v>52</v>
      </c>
      <c r="B54" s="4">
        <f t="shared" si="2"/>
        <v>16691</v>
      </c>
      <c r="C54" s="4" t="str">
        <f t="shared" si="3"/>
        <v>4133</v>
      </c>
      <c r="E54" s="1" t="s">
        <v>112</v>
      </c>
      <c r="F54" s="7" t="s">
        <v>854</v>
      </c>
      <c r="G54" s="6" t="s">
        <v>114</v>
      </c>
      <c r="H54" s="7" t="s">
        <v>88</v>
      </c>
      <c r="I54" s="14" t="s">
        <v>808</v>
      </c>
    </row>
    <row r="55" spans="1:20">
      <c r="A55" s="1">
        <v>53</v>
      </c>
      <c r="B55" s="4">
        <f t="shared" si="2"/>
        <v>16692</v>
      </c>
      <c r="C55" s="4" t="str">
        <f t="shared" si="3"/>
        <v>4134</v>
      </c>
      <c r="E55" s="1" t="s">
        <v>112</v>
      </c>
      <c r="F55" s="7" t="s">
        <v>855</v>
      </c>
      <c r="G55" s="6" t="s">
        <v>114</v>
      </c>
      <c r="H55" s="7" t="s">
        <v>856</v>
      </c>
      <c r="I55" s="16" t="s">
        <v>857</v>
      </c>
    </row>
    <row r="56" spans="1:20">
      <c r="A56" s="1">
        <v>54</v>
      </c>
      <c r="B56" s="4">
        <f t="shared" si="2"/>
        <v>16693</v>
      </c>
      <c r="C56" s="4" t="str">
        <f t="shared" si="3"/>
        <v>4135</v>
      </c>
      <c r="E56" s="1" t="s">
        <v>112</v>
      </c>
      <c r="F56" s="7" t="s">
        <v>607</v>
      </c>
      <c r="G56" s="6" t="s">
        <v>114</v>
      </c>
      <c r="H56" s="7" t="s">
        <v>811</v>
      </c>
      <c r="I56" s="16" t="s">
        <v>857</v>
      </c>
      <c r="P56" s="3"/>
      <c r="Q56" s="3"/>
      <c r="R56" s="3"/>
      <c r="T56" s="3"/>
    </row>
    <row r="57" spans="1:20">
      <c r="A57" s="1">
        <v>55</v>
      </c>
      <c r="B57" s="4">
        <f t="shared" si="2"/>
        <v>16694</v>
      </c>
      <c r="C57" s="4" t="str">
        <f t="shared" si="3"/>
        <v>4136</v>
      </c>
      <c r="E57" s="1" t="s">
        <v>112</v>
      </c>
      <c r="F57" s="7" t="s">
        <v>606</v>
      </c>
      <c r="G57" s="6" t="s">
        <v>114</v>
      </c>
      <c r="H57" s="7" t="s">
        <v>858</v>
      </c>
      <c r="I57" s="16" t="s">
        <v>859</v>
      </c>
      <c r="P57" s="3"/>
      <c r="Q57" s="3"/>
      <c r="R57" s="3"/>
      <c r="T57" s="3"/>
    </row>
    <row r="58" spans="1:20">
      <c r="A58" s="1">
        <v>56</v>
      </c>
      <c r="B58" s="4">
        <f t="shared" si="2"/>
        <v>16695</v>
      </c>
      <c r="C58" s="4" t="str">
        <f t="shared" si="3"/>
        <v>4137</v>
      </c>
      <c r="E58" s="1" t="s">
        <v>112</v>
      </c>
      <c r="F58" s="7" t="s">
        <v>605</v>
      </c>
      <c r="G58" s="6" t="s">
        <v>114</v>
      </c>
      <c r="H58" s="6" t="s">
        <v>88</v>
      </c>
      <c r="I58" s="16" t="s">
        <v>860</v>
      </c>
      <c r="P58" s="3"/>
      <c r="Q58" s="3"/>
      <c r="R58" s="3"/>
      <c r="T58" s="3"/>
    </row>
    <row r="59" spans="1:20">
      <c r="A59" s="1">
        <v>57</v>
      </c>
      <c r="B59" s="4">
        <f t="shared" si="2"/>
        <v>16696</v>
      </c>
      <c r="C59" s="4" t="str">
        <f t="shared" si="3"/>
        <v>4138</v>
      </c>
      <c r="E59" s="1" t="s">
        <v>112</v>
      </c>
      <c r="F59" s="7" t="s">
        <v>604</v>
      </c>
      <c r="G59" s="6" t="s">
        <v>114</v>
      </c>
      <c r="H59" s="6" t="s">
        <v>88</v>
      </c>
      <c r="I59" s="16" t="s">
        <v>861</v>
      </c>
      <c r="P59" s="3"/>
      <c r="Q59" s="3"/>
      <c r="R59" s="3"/>
      <c r="T59" s="3"/>
    </row>
    <row r="60" spans="1:20">
      <c r="A60" s="1">
        <v>58</v>
      </c>
      <c r="B60" s="4">
        <f t="shared" si="2"/>
        <v>16697</v>
      </c>
      <c r="C60" s="4" t="str">
        <f t="shared" si="3"/>
        <v>4139</v>
      </c>
      <c r="E60" s="1" t="s">
        <v>112</v>
      </c>
      <c r="F60" s="7" t="s">
        <v>603</v>
      </c>
      <c r="G60" s="6" t="s">
        <v>114</v>
      </c>
      <c r="H60" s="6" t="s">
        <v>88</v>
      </c>
      <c r="I60" s="16" t="s">
        <v>862</v>
      </c>
      <c r="P60" s="3"/>
      <c r="Q60" s="3"/>
      <c r="R60" s="3"/>
      <c r="T60" s="3"/>
    </row>
    <row r="61" spans="1:20">
      <c r="A61" s="1">
        <v>59</v>
      </c>
      <c r="B61" s="4">
        <f t="shared" si="2"/>
        <v>16698</v>
      </c>
      <c r="C61" s="4" t="str">
        <f t="shared" si="3"/>
        <v>413A</v>
      </c>
      <c r="E61" s="1" t="s">
        <v>112</v>
      </c>
      <c r="F61" s="7" t="s">
        <v>863</v>
      </c>
      <c r="G61" s="6" t="s">
        <v>114</v>
      </c>
      <c r="H61" s="6" t="s">
        <v>864</v>
      </c>
      <c r="I61" s="16" t="s">
        <v>859</v>
      </c>
      <c r="P61" s="3"/>
      <c r="Q61" s="3"/>
      <c r="R61" s="3"/>
      <c r="T61" s="3"/>
    </row>
    <row r="62" spans="1:20">
      <c r="A62" s="1">
        <v>60</v>
      </c>
      <c r="B62" s="4">
        <f t="shared" si="2"/>
        <v>16699</v>
      </c>
      <c r="C62" s="4" t="str">
        <f t="shared" si="3"/>
        <v>413B</v>
      </c>
      <c r="E62" s="1" t="s">
        <v>112</v>
      </c>
      <c r="F62" s="7" t="s">
        <v>865</v>
      </c>
      <c r="G62" s="6" t="s">
        <v>114</v>
      </c>
      <c r="H62" s="6" t="s">
        <v>864</v>
      </c>
      <c r="I62" s="16" t="s">
        <v>859</v>
      </c>
      <c r="P62" s="3"/>
      <c r="Q62" s="3"/>
      <c r="R62" s="3"/>
      <c r="T62" s="3"/>
    </row>
    <row r="63" spans="1:20">
      <c r="A63" s="1">
        <v>61</v>
      </c>
      <c r="B63" s="4">
        <f t="shared" si="2"/>
        <v>16700</v>
      </c>
      <c r="C63" s="4" t="str">
        <f t="shared" si="3"/>
        <v>413C</v>
      </c>
      <c r="E63" s="1" t="s">
        <v>112</v>
      </c>
      <c r="F63" s="7" t="s">
        <v>866</v>
      </c>
      <c r="G63" s="6" t="s">
        <v>114</v>
      </c>
      <c r="H63" s="6" t="s">
        <v>864</v>
      </c>
      <c r="I63" s="16" t="s">
        <v>859</v>
      </c>
      <c r="P63" s="3"/>
      <c r="Q63" s="3"/>
      <c r="R63" s="3"/>
      <c r="T63" s="3"/>
    </row>
    <row r="64" spans="1:20">
      <c r="A64" s="1">
        <v>62</v>
      </c>
      <c r="B64" s="4">
        <f t="shared" si="2"/>
        <v>16701</v>
      </c>
      <c r="C64" s="4" t="str">
        <f t="shared" si="3"/>
        <v>413D</v>
      </c>
      <c r="E64" s="1" t="s">
        <v>112</v>
      </c>
      <c r="F64" s="7" t="s">
        <v>867</v>
      </c>
      <c r="G64" s="6" t="s">
        <v>114</v>
      </c>
      <c r="H64" s="6" t="s">
        <v>864</v>
      </c>
      <c r="I64" s="16" t="s">
        <v>859</v>
      </c>
      <c r="P64" s="3"/>
      <c r="Q64" s="3"/>
      <c r="R64" s="3"/>
      <c r="T64" s="3"/>
    </row>
    <row r="65" spans="1:20">
      <c r="A65" s="1">
        <v>63</v>
      </c>
      <c r="B65" s="4">
        <f t="shared" si="2"/>
        <v>16702</v>
      </c>
      <c r="C65" s="4" t="str">
        <f t="shared" si="3"/>
        <v>413E</v>
      </c>
      <c r="E65" s="1" t="s">
        <v>112</v>
      </c>
      <c r="F65" s="7" t="s">
        <v>868</v>
      </c>
      <c r="G65" s="6" t="s">
        <v>114</v>
      </c>
      <c r="H65" s="6" t="s">
        <v>864</v>
      </c>
      <c r="I65" s="16" t="s">
        <v>859</v>
      </c>
      <c r="P65" s="3"/>
      <c r="Q65" s="3"/>
      <c r="R65" s="3"/>
      <c r="T65" s="3"/>
    </row>
    <row r="66" spans="1:20">
      <c r="A66" s="1">
        <v>64</v>
      </c>
      <c r="B66" s="4">
        <f t="shared" si="2"/>
        <v>16703</v>
      </c>
      <c r="C66" s="4" t="str">
        <f t="shared" si="3"/>
        <v>413F</v>
      </c>
      <c r="E66" s="1" t="s">
        <v>112</v>
      </c>
      <c r="F66" s="7" t="s">
        <v>869</v>
      </c>
      <c r="G66" s="6" t="s">
        <v>114</v>
      </c>
      <c r="H66" s="6" t="s">
        <v>864</v>
      </c>
      <c r="I66" s="16" t="s">
        <v>859</v>
      </c>
      <c r="P66" s="3"/>
      <c r="Q66" s="3"/>
      <c r="R66" s="3"/>
      <c r="T66" s="3"/>
    </row>
    <row r="67" spans="1:20" ht="60">
      <c r="A67" s="4">
        <v>65</v>
      </c>
      <c r="B67" s="4">
        <f t="shared" si="2"/>
        <v>16704</v>
      </c>
      <c r="C67" s="4">
        <v>4140</v>
      </c>
      <c r="E67" s="1" t="s">
        <v>112</v>
      </c>
      <c r="F67" s="7" t="s">
        <v>870</v>
      </c>
      <c r="G67" s="6" t="s">
        <v>114</v>
      </c>
      <c r="H67" s="6"/>
      <c r="I67" s="17" t="s">
        <v>871</v>
      </c>
      <c r="P67" s="3"/>
      <c r="Q67" s="3"/>
      <c r="R67" s="3"/>
      <c r="T67" s="3"/>
    </row>
    <row r="68" spans="1:20" ht="75">
      <c r="A68" s="4">
        <v>66</v>
      </c>
      <c r="B68" s="4">
        <f t="shared" si="2"/>
        <v>16705</v>
      </c>
      <c r="C68" s="8">
        <v>4141</v>
      </c>
      <c r="D68" s="8"/>
      <c r="E68" s="8" t="s">
        <v>112</v>
      </c>
      <c r="F68" s="8" t="s">
        <v>872</v>
      </c>
      <c r="G68" s="8" t="s">
        <v>114</v>
      </c>
      <c r="H68" s="17"/>
      <c r="I68" s="17" t="s">
        <v>873</v>
      </c>
      <c r="P68" s="3"/>
      <c r="Q68" s="3"/>
      <c r="R68" s="3"/>
      <c r="T68" s="3"/>
    </row>
    <row r="69" spans="1:20" ht="75">
      <c r="A69" s="4">
        <v>67</v>
      </c>
      <c r="B69" s="4">
        <f t="shared" si="2"/>
        <v>16706</v>
      </c>
      <c r="C69" s="8">
        <v>4142</v>
      </c>
      <c r="E69" s="8" t="s">
        <v>112</v>
      </c>
      <c r="F69" s="18" t="s">
        <v>402</v>
      </c>
      <c r="G69" s="8" t="s">
        <v>114</v>
      </c>
      <c r="H69" s="4" t="s">
        <v>874</v>
      </c>
      <c r="I69" s="21" t="s">
        <v>875</v>
      </c>
      <c r="P69" s="3"/>
      <c r="Q69" s="3"/>
      <c r="R69" s="3"/>
      <c r="T69" s="3"/>
    </row>
    <row r="70" spans="1:20" ht="105">
      <c r="A70" s="4">
        <v>68</v>
      </c>
      <c r="B70" s="4">
        <v>16707</v>
      </c>
      <c r="C70" s="8">
        <v>4143</v>
      </c>
      <c r="E70" s="8" t="s">
        <v>112</v>
      </c>
      <c r="F70" s="4" t="s">
        <v>876</v>
      </c>
      <c r="G70" s="8" t="s">
        <v>114</v>
      </c>
      <c r="I70" s="21" t="s">
        <v>877</v>
      </c>
      <c r="P70" s="3"/>
      <c r="Q70" s="3"/>
      <c r="R70" s="3"/>
      <c r="T70" s="3"/>
    </row>
    <row r="71" spans="1:20" ht="75">
      <c r="A71" s="4">
        <v>69</v>
      </c>
      <c r="B71" s="4">
        <v>16708</v>
      </c>
      <c r="C71" s="8">
        <v>4144</v>
      </c>
      <c r="E71" s="8" t="s">
        <v>112</v>
      </c>
      <c r="F71" s="4" t="s">
        <v>878</v>
      </c>
      <c r="G71" s="8" t="s">
        <v>114</v>
      </c>
      <c r="H71" s="6" t="s">
        <v>864</v>
      </c>
      <c r="I71" s="16" t="s">
        <v>859</v>
      </c>
      <c r="P71" s="3"/>
      <c r="Q71" s="3"/>
      <c r="R71" s="3"/>
      <c r="T71" s="3"/>
    </row>
    <row r="72" spans="1:20" ht="75">
      <c r="A72" s="4">
        <v>70</v>
      </c>
      <c r="B72" s="4">
        <v>16709</v>
      </c>
      <c r="C72" s="8">
        <v>4145</v>
      </c>
      <c r="E72" s="8" t="s">
        <v>112</v>
      </c>
      <c r="F72" s="4" t="s">
        <v>879</v>
      </c>
      <c r="G72" s="8" t="s">
        <v>114</v>
      </c>
      <c r="H72" s="6" t="s">
        <v>864</v>
      </c>
      <c r="I72" s="16" t="s">
        <v>859</v>
      </c>
      <c r="P72" s="3"/>
      <c r="Q72" s="3"/>
      <c r="R72" s="3"/>
      <c r="T72" s="3"/>
    </row>
    <row r="73" spans="1:20" ht="75">
      <c r="A73" s="4">
        <v>71</v>
      </c>
      <c r="B73" s="4">
        <v>16710</v>
      </c>
      <c r="C73" s="8">
        <v>4146</v>
      </c>
      <c r="E73" s="8" t="s">
        <v>112</v>
      </c>
      <c r="F73" s="19" t="s">
        <v>880</v>
      </c>
      <c r="G73" s="8" t="s">
        <v>114</v>
      </c>
      <c r="H73" s="7" t="s">
        <v>823</v>
      </c>
      <c r="I73" s="16" t="s">
        <v>824</v>
      </c>
      <c r="P73" s="3"/>
      <c r="Q73" s="3"/>
      <c r="R73" s="3"/>
      <c r="T73" s="3"/>
    </row>
    <row r="74" spans="1:20" ht="75">
      <c r="A74" s="4">
        <v>72</v>
      </c>
      <c r="B74" s="4">
        <v>16711</v>
      </c>
      <c r="C74" s="8">
        <v>4147</v>
      </c>
      <c r="E74" s="8" t="s">
        <v>112</v>
      </c>
      <c r="F74" s="19" t="s">
        <v>881</v>
      </c>
      <c r="G74" s="8" t="s">
        <v>114</v>
      </c>
      <c r="H74" s="7" t="s">
        <v>823</v>
      </c>
      <c r="I74" s="16" t="s">
        <v>824</v>
      </c>
      <c r="P74" s="3"/>
      <c r="Q74" s="3"/>
      <c r="R74" s="3"/>
      <c r="T74" s="3"/>
    </row>
    <row r="75" spans="1:20" ht="90">
      <c r="A75" s="4">
        <v>73</v>
      </c>
      <c r="B75" s="4">
        <v>16712</v>
      </c>
      <c r="C75" s="4">
        <v>4148</v>
      </c>
      <c r="D75" s="2"/>
      <c r="E75" s="2" t="s">
        <v>112</v>
      </c>
      <c r="F75" s="20" t="s">
        <v>882</v>
      </c>
      <c r="G75" s="2" t="s">
        <v>114</v>
      </c>
      <c r="H75" s="2"/>
      <c r="I75" s="20" t="s">
        <v>883</v>
      </c>
      <c r="L75" s="21"/>
      <c r="P75" s="3"/>
      <c r="Q75" s="3"/>
      <c r="R75" s="3"/>
      <c r="T75" s="3"/>
    </row>
    <row r="76" spans="1:20" ht="75">
      <c r="A76" s="4">
        <v>74</v>
      </c>
      <c r="B76" s="4">
        <v>16713</v>
      </c>
      <c r="C76" s="4">
        <v>4149</v>
      </c>
      <c r="E76" s="2" t="s">
        <v>112</v>
      </c>
      <c r="F76" s="18" t="s">
        <v>884</v>
      </c>
      <c r="G76" s="2" t="s">
        <v>114</v>
      </c>
      <c r="H76" s="4" t="s">
        <v>234</v>
      </c>
      <c r="I76" s="21" t="s">
        <v>885</v>
      </c>
      <c r="P76" s="3"/>
      <c r="Q76" s="3"/>
      <c r="R76" s="3"/>
      <c r="T76" s="3"/>
    </row>
    <row r="77" spans="1:20" ht="60">
      <c r="A77" s="4">
        <v>75</v>
      </c>
      <c r="B77" s="4">
        <v>16714</v>
      </c>
      <c r="C77" s="4" t="s">
        <v>886</v>
      </c>
      <c r="E77" s="2" t="s">
        <v>112</v>
      </c>
      <c r="F77" s="18" t="s">
        <v>887</v>
      </c>
      <c r="G77" s="2" t="s">
        <v>114</v>
      </c>
      <c r="I77" s="21" t="s">
        <v>888</v>
      </c>
      <c r="P77" s="3"/>
      <c r="Q77" s="3"/>
      <c r="R77" s="3"/>
      <c r="T77" s="3"/>
    </row>
    <row r="78" spans="1:20" ht="45">
      <c r="A78" s="4">
        <v>76</v>
      </c>
      <c r="B78" s="4">
        <v>16715</v>
      </c>
      <c r="C78" s="4" t="s">
        <v>889</v>
      </c>
      <c r="E78" s="2" t="s">
        <v>112</v>
      </c>
      <c r="F78" s="18" t="s">
        <v>890</v>
      </c>
      <c r="G78" s="2" t="s">
        <v>114</v>
      </c>
      <c r="I78" s="21" t="s">
        <v>891</v>
      </c>
      <c r="P78" s="3"/>
      <c r="Q78" s="3"/>
      <c r="R78" s="3"/>
      <c r="T78" s="3"/>
    </row>
    <row r="79" spans="1:20" ht="105">
      <c r="A79" s="4">
        <v>76</v>
      </c>
      <c r="B79" s="4">
        <v>16715</v>
      </c>
      <c r="C79" s="4" t="s">
        <v>892</v>
      </c>
      <c r="E79" s="2" t="s">
        <v>112</v>
      </c>
      <c r="F79" s="18" t="s">
        <v>893</v>
      </c>
      <c r="G79" s="2" t="s">
        <v>114</v>
      </c>
      <c r="I79" s="21" t="s">
        <v>894</v>
      </c>
      <c r="P79" s="3"/>
      <c r="Q79" s="3"/>
      <c r="R79" s="3"/>
      <c r="T79" s="3"/>
    </row>
    <row r="80" spans="1:20">
      <c r="P80" s="3"/>
      <c r="Q80" s="3"/>
      <c r="R80" s="3"/>
      <c r="T80" s="3"/>
    </row>
    <row r="81" spans="16:20">
      <c r="P81" s="3"/>
      <c r="Q81" s="3"/>
      <c r="R81" s="3"/>
      <c r="T81" s="3"/>
    </row>
    <row r="82" spans="16:20">
      <c r="Q82"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22</vt:i4>
      </vt:variant>
    </vt:vector>
  </HeadingPairs>
  <TitlesOfParts>
    <vt:vector size="22" baseType="lpstr">
      <vt:lpstr> Version information</vt:lpstr>
      <vt:lpstr> Communication format</vt:lpstr>
      <vt:lpstr> WF_Version</vt:lpstr>
      <vt:lpstr> WF_Simplify</vt:lpstr>
      <vt:lpstr> WF_WorkMode</vt:lpstr>
      <vt:lpstr> WF_BAT</vt:lpstr>
      <vt:lpstr> WF_BMS</vt:lpstr>
      <vt:lpstr> WF_LINE</vt:lpstr>
      <vt:lpstr> WF_OP</vt:lpstr>
      <vt:lpstr> WF_PV</vt:lpstr>
      <vt:lpstr> WF_INV</vt:lpstr>
      <vt:lpstr> WF_FAN</vt:lpstr>
      <vt:lpstr> WF_NTC</vt:lpstr>
      <vt:lpstr> WF_FunctionSwitch</vt:lpstr>
      <vt:lpstr> WF_Time</vt:lpstr>
      <vt:lpstr> WF_PARA</vt:lpstr>
      <vt:lpstr> WF_Admin</vt:lpstr>
      <vt:lpstr> WF_FCT</vt:lpstr>
      <vt:lpstr> WF_Calibration</vt:lpstr>
      <vt:lpstr> WF_Generator</vt:lpstr>
      <vt:lpstr> WF_OTA</vt:lpstr>
      <vt:lpstr> WF_UserSet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Gamester</cp:lastModifiedBy>
  <dcterms:created xsi:type="dcterms:W3CDTF">2023-09-05T10:35:00Z</dcterms:created>
  <dcterms:modified xsi:type="dcterms:W3CDTF">2026-05-19T20:40:27Z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E1BA86916BE8469F8BB9256F12324B0C_13</vt:lpwstr>
  </property>
  <property fmtid="{D5CDD505-2E9C-101B-9397-08002B2CF9AE}" pid="3" name="KSOProductBuildVer">
    <vt:lpwstr>2052-12.1.0.23125</vt:lpwstr>
  </property>
  <property fmtid="{D5CDD505-2E9C-101B-9397-08002B2CF9AE}" pid="4" name="KSOReadingLayout">
    <vt:bool>false</vt:bool>
  </property>
</Properties>
</file>